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iev\Downloads\"/>
    </mc:Choice>
  </mc:AlternateContent>
  <xr:revisionPtr revIDLastSave="0" documentId="13_ncr:1_{17C9F415-3641-447C-90F9-46FED5D762B8}" xr6:coauthVersionLast="47" xr6:coauthVersionMax="47" xr10:uidLastSave="{00000000-0000-0000-0000-000000000000}"/>
  <bookViews>
    <workbookView xWindow="-120" yWindow="-120" windowWidth="20730" windowHeight="11040" xr2:uid="{CF660114-CEB2-4910-A08E-009F57710481}"/>
  </bookViews>
  <sheets>
    <sheet name="MACERACIÓN" sheetId="2" r:id="rId1"/>
    <sheet name="SOXHLET" sheetId="3" r:id="rId2"/>
    <sheet name="ULTRASONIDO" sheetId="4" r:id="rId3"/>
  </sheets>
  <externalReferences>
    <externalReference r:id="rId4"/>
  </externalReferences>
  <definedNames>
    <definedName name="ASPECTO">[1]Listas!$D$2:$D$3</definedName>
    <definedName name="BORDE" localSheetId="2">#REF!</definedName>
    <definedName name="BORDE">#REF!</definedName>
    <definedName name="Calendar9Year" localSheetId="2">#REF!</definedName>
    <definedName name="Calendar9Year">#REF!</definedName>
    <definedName name="Calendario10Año" localSheetId="2">#REF!</definedName>
    <definedName name="Calendario10Año">#REF!</definedName>
    <definedName name="Calendario10Mes" localSheetId="2">#REF!</definedName>
    <definedName name="Calendario10Mes">#REF!</definedName>
    <definedName name="Calendario11Año" localSheetId="2">#REF!</definedName>
    <definedName name="Calendario11Año">#REF!</definedName>
    <definedName name="Calendario11Mes" localSheetId="2">#REF!</definedName>
    <definedName name="Calendario11Mes">#REF!</definedName>
    <definedName name="Calendario12Año" localSheetId="2">#REF!</definedName>
    <definedName name="Calendario12Año">#REF!</definedName>
    <definedName name="Calendario12Mes" localSheetId="2">#REF!</definedName>
    <definedName name="Calendario12Mes">#REF!</definedName>
    <definedName name="Calendario1Año" localSheetId="2">#REF!</definedName>
    <definedName name="Calendario1Año">#REF!</definedName>
    <definedName name="Calendario1Mes" localSheetId="2">#REF!</definedName>
    <definedName name="Calendario1Mes">#REF!</definedName>
    <definedName name="Calendario2Año" localSheetId="2">#REF!</definedName>
    <definedName name="Calendario2Año">#REF!</definedName>
    <definedName name="Calendario2Mes" localSheetId="2">#REF!</definedName>
    <definedName name="Calendario2Mes">#REF!</definedName>
    <definedName name="Calendario3Año" localSheetId="2">#REF!</definedName>
    <definedName name="Calendario3Año">#REF!</definedName>
    <definedName name="Calendario3Mes" localSheetId="2">#REF!</definedName>
    <definedName name="Calendario3Mes">#REF!</definedName>
    <definedName name="Calendario4Año" localSheetId="2">#REF!</definedName>
    <definedName name="Calendario4Año">#REF!</definedName>
    <definedName name="Calendario4Mes" localSheetId="2">#REF!</definedName>
    <definedName name="Calendario4Mes">#REF!</definedName>
    <definedName name="Calendario5Año" localSheetId="2">#REF!</definedName>
    <definedName name="Calendario5Año">#REF!</definedName>
    <definedName name="Calendario5Mes" localSheetId="2">#REF!</definedName>
    <definedName name="Calendario5Mes">#REF!</definedName>
    <definedName name="Calendario6Año" localSheetId="2">#REF!</definedName>
    <definedName name="Calendario6Año">#REF!</definedName>
    <definedName name="Calendario6Mes" localSheetId="2">#REF!</definedName>
    <definedName name="Calendario6Mes">#REF!</definedName>
    <definedName name="Calendario7Año" localSheetId="2">#REF!</definedName>
    <definedName name="Calendario7Año">#REF!</definedName>
    <definedName name="Calendario7Mes" localSheetId="2">#REF!</definedName>
    <definedName name="Calendario7Mes">#REF!</definedName>
    <definedName name="Calendario8Año" localSheetId="2">#REF!</definedName>
    <definedName name="Calendario8Año">#REF!</definedName>
    <definedName name="Calendario8Mes" localSheetId="2">#REF!</definedName>
    <definedName name="Calendario8Mes">#REF!</definedName>
    <definedName name="Calendario9Mes" localSheetId="2">#REF!</definedName>
    <definedName name="Calendario9Mes">#REF!</definedName>
    <definedName name="ColumnTitleRegion1..H12.1" localSheetId="2">#REF!</definedName>
    <definedName name="ColumnTitleRegion1..H12.1">#REF!</definedName>
    <definedName name="ColumnTitleRegion10..H54.1" localSheetId="2">#REF!</definedName>
    <definedName name="ColumnTitleRegion10..H54.1">#REF!</definedName>
    <definedName name="ColumnTitleRegion11..C56.1" localSheetId="2">#REF!</definedName>
    <definedName name="ColumnTitleRegion11..C56.1">#REF!</definedName>
    <definedName name="ColumnTitleRegion12..D56.1" localSheetId="2">#REF!</definedName>
    <definedName name="ColumnTitleRegion12..D56.1">#REF!</definedName>
    <definedName name="ColumnTitleRegion13..H68.1" localSheetId="2">#REF!</definedName>
    <definedName name="ColumnTitleRegion13..H68.1">#REF!</definedName>
    <definedName name="ColumnTitleRegion14..C70.1" localSheetId="2">#REF!</definedName>
    <definedName name="ColumnTitleRegion14..C70.1">#REF!</definedName>
    <definedName name="ColumnTitleRegion15..D70.1" localSheetId="2">#REF!</definedName>
    <definedName name="ColumnTitleRegion15..D70.1">#REF!</definedName>
    <definedName name="ColumnTitleRegion16..H82.1" localSheetId="2">#REF!</definedName>
    <definedName name="ColumnTitleRegion16..H82.1">#REF!</definedName>
    <definedName name="ColumnTitleRegion17..C84.1" localSheetId="2">#REF!</definedName>
    <definedName name="ColumnTitleRegion17..C84.1">#REF!</definedName>
    <definedName name="ColumnTitleRegion18..D84.1" localSheetId="2">#REF!</definedName>
    <definedName name="ColumnTitleRegion18..D84.1">#REF!</definedName>
    <definedName name="ColumnTitleRegion19..H96.1" localSheetId="2">#REF!</definedName>
    <definedName name="ColumnTitleRegion19..H96.1">#REF!</definedName>
    <definedName name="ColumnTitleRegion2..C14.1" localSheetId="2">#REF!</definedName>
    <definedName name="ColumnTitleRegion2..C14.1">#REF!</definedName>
    <definedName name="ColumnTitleRegion20..C98.1" localSheetId="2">#REF!</definedName>
    <definedName name="ColumnTitleRegion20..C98.1">#REF!</definedName>
    <definedName name="ColumnTitleRegion21..D98.1" localSheetId="2">#REF!</definedName>
    <definedName name="ColumnTitleRegion21..D98.1">#REF!</definedName>
    <definedName name="ColumnTitleRegion22..H110.1" localSheetId="2">#REF!</definedName>
    <definedName name="ColumnTitleRegion22..H110.1">#REF!</definedName>
    <definedName name="ColumnTitleRegion23..C112.1" localSheetId="2">#REF!</definedName>
    <definedName name="ColumnTitleRegion23..C112.1">#REF!</definedName>
    <definedName name="ColumnTitleRegion24..D112.1" localSheetId="2">#REF!</definedName>
    <definedName name="ColumnTitleRegion24..D112.1">#REF!</definedName>
    <definedName name="ColumnTitleRegion25..H124.1" localSheetId="2">#REF!</definedName>
    <definedName name="ColumnTitleRegion25..H124.1">#REF!</definedName>
    <definedName name="ColumnTitleRegion26..C126.1" localSheetId="2">#REF!</definedName>
    <definedName name="ColumnTitleRegion26..C126.1">#REF!</definedName>
    <definedName name="ColumnTitleRegion27..D126.1" localSheetId="2">#REF!</definedName>
    <definedName name="ColumnTitleRegion27..D126.1">#REF!</definedName>
    <definedName name="ColumnTitleRegion28..H138.1" localSheetId="2">#REF!</definedName>
    <definedName name="ColumnTitleRegion28..H138.1">#REF!</definedName>
    <definedName name="ColumnTitleRegion29..C140.1" localSheetId="2">#REF!</definedName>
    <definedName name="ColumnTitleRegion29..C140.1">#REF!</definedName>
    <definedName name="ColumnTitleRegion3..D14.1" localSheetId="2">#REF!</definedName>
    <definedName name="ColumnTitleRegion3..D14.1">#REF!</definedName>
    <definedName name="ColumnTitleRegion30..D140.1" localSheetId="2">#REF!</definedName>
    <definedName name="ColumnTitleRegion30..D140.1">#REF!</definedName>
    <definedName name="ColumnTitleRegion31..H152.1" localSheetId="2">#REF!</definedName>
    <definedName name="ColumnTitleRegion31..H152.1">#REF!</definedName>
    <definedName name="ColumnTitleRegion32..C154.1" localSheetId="2">#REF!</definedName>
    <definedName name="ColumnTitleRegion32..C154.1">#REF!</definedName>
    <definedName name="ColumnTitleRegion33..D154.1" localSheetId="2">#REF!</definedName>
    <definedName name="ColumnTitleRegion33..D154.1">#REF!</definedName>
    <definedName name="ColumnTitleRegion34..H166.1" localSheetId="2">#REF!</definedName>
    <definedName name="ColumnTitleRegion34..H166.1">#REF!</definedName>
    <definedName name="ColumnTitleRegion35..C168.1" localSheetId="2">#REF!</definedName>
    <definedName name="ColumnTitleRegion35..C168.1">#REF!</definedName>
    <definedName name="ColumnTitleRegion36..D168.1" localSheetId="2">#REF!</definedName>
    <definedName name="ColumnTitleRegion36..D168.1">#REF!</definedName>
    <definedName name="ColumnTitleRegion4..H26.1" localSheetId="2">#REF!</definedName>
    <definedName name="ColumnTitleRegion4..H26.1">#REF!</definedName>
    <definedName name="ColumnTitleRegion5..C28.1" localSheetId="2">#REF!</definedName>
    <definedName name="ColumnTitleRegion5..C28.1">#REF!</definedName>
    <definedName name="ColumnTitleRegion6..D28.1" localSheetId="2">#REF!</definedName>
    <definedName name="ColumnTitleRegion6..D28.1">#REF!</definedName>
    <definedName name="ColumnTitleRegion7..H40.1" localSheetId="2">#REF!</definedName>
    <definedName name="ColumnTitleRegion7..H40.1">#REF!</definedName>
    <definedName name="ColumnTitleRegion8..C42.1" localSheetId="2">#REF!</definedName>
    <definedName name="ColumnTitleRegion8..C42.1">#REF!</definedName>
    <definedName name="ColumnTitleRegion9..D42.1" localSheetId="2">#REF!</definedName>
    <definedName name="ColumnTitleRegion9..D42.1">#REF!</definedName>
    <definedName name="ELEVACIÓN">[1]Listas!$B$2:$B$4</definedName>
    <definedName name="FORMA">[1]Listas!$A$2:$A$5</definedName>
    <definedName name="h4h" localSheetId="2">#REF!</definedName>
    <definedName name="h4h">#REF!</definedName>
    <definedName name="H4H2" localSheetId="2">#REF!</definedName>
    <definedName name="H4H2">#REF!</definedName>
    <definedName name="InicioDeSemana" localSheetId="2">#REF!</definedName>
    <definedName name="InicioDeSemana">#REF!</definedName>
    <definedName name="MARGEN">[1]Listas!$F$2:$F$5</definedName>
    <definedName name="SUPERFICIE">[1]Listas!$E$2:$E$6</definedName>
    <definedName name="TEXTURA">[1]Listas!$C$2:$C$8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2" l="1"/>
  <c r="F8" i="2"/>
  <c r="F7" i="2"/>
  <c r="K96" i="4"/>
  <c r="G96" i="4"/>
  <c r="K95" i="4"/>
  <c r="G95" i="4"/>
  <c r="K94" i="4"/>
  <c r="G94" i="4"/>
  <c r="K93" i="4"/>
  <c r="G93" i="4"/>
  <c r="K92" i="4"/>
  <c r="G92" i="4"/>
  <c r="K91" i="4"/>
  <c r="G91" i="4"/>
  <c r="K90" i="4"/>
  <c r="G90" i="4"/>
  <c r="K89" i="4"/>
  <c r="G89" i="4"/>
  <c r="K88" i="4"/>
  <c r="G88" i="4"/>
  <c r="K87" i="4"/>
  <c r="G87" i="4"/>
  <c r="K86" i="4"/>
  <c r="G86" i="4"/>
  <c r="K85" i="4"/>
  <c r="G85" i="4"/>
  <c r="K84" i="4"/>
  <c r="G84" i="4"/>
  <c r="K83" i="4"/>
  <c r="G83" i="4"/>
  <c r="K82" i="4"/>
  <c r="G82" i="4"/>
  <c r="K81" i="4"/>
  <c r="G81" i="4"/>
  <c r="K80" i="4"/>
  <c r="G80" i="4"/>
  <c r="K79" i="4"/>
  <c r="G79" i="4"/>
  <c r="K78" i="4"/>
  <c r="G78" i="4"/>
  <c r="K77" i="4"/>
  <c r="G77" i="4"/>
  <c r="K76" i="4"/>
  <c r="G76" i="4"/>
  <c r="K75" i="4"/>
  <c r="G75" i="4"/>
  <c r="K74" i="4"/>
  <c r="G74" i="4"/>
  <c r="K73" i="4"/>
  <c r="G73" i="4"/>
  <c r="K72" i="4"/>
  <c r="G72" i="4"/>
  <c r="K71" i="4"/>
  <c r="G71" i="4"/>
  <c r="K70" i="4"/>
  <c r="G70" i="4"/>
  <c r="K69" i="4"/>
  <c r="G69" i="4"/>
  <c r="K68" i="4"/>
  <c r="G68" i="4"/>
  <c r="K67" i="4"/>
  <c r="G67" i="4"/>
  <c r="K66" i="4"/>
  <c r="G66" i="4"/>
  <c r="K65" i="4"/>
  <c r="G65" i="4"/>
  <c r="K64" i="4"/>
  <c r="G64" i="4"/>
  <c r="K63" i="4"/>
  <c r="G63" i="4"/>
  <c r="K62" i="4"/>
  <c r="G62" i="4"/>
  <c r="K61" i="4"/>
  <c r="G61" i="4"/>
  <c r="K60" i="4"/>
  <c r="G60" i="4"/>
  <c r="K59" i="4"/>
  <c r="G59" i="4"/>
  <c r="K58" i="4"/>
  <c r="G58" i="4"/>
  <c r="K57" i="4"/>
  <c r="G57" i="4"/>
  <c r="K56" i="4"/>
  <c r="G56" i="4"/>
  <c r="K55" i="4"/>
  <c r="G55" i="4"/>
  <c r="K54" i="4"/>
  <c r="G54" i="4"/>
  <c r="K53" i="4"/>
  <c r="G53" i="4"/>
  <c r="K52" i="4"/>
  <c r="G52" i="4"/>
  <c r="K51" i="4"/>
  <c r="G51" i="4"/>
  <c r="K50" i="4"/>
  <c r="G50" i="4"/>
  <c r="K49" i="4"/>
  <c r="G49" i="4"/>
  <c r="K48" i="4"/>
  <c r="G48" i="4"/>
  <c r="K47" i="4"/>
  <c r="G47" i="4"/>
  <c r="K46" i="4"/>
  <c r="G46" i="4"/>
  <c r="K45" i="4"/>
  <c r="G45" i="4"/>
  <c r="K44" i="4"/>
  <c r="G44" i="4"/>
  <c r="K43" i="4"/>
  <c r="G43" i="4"/>
  <c r="K42" i="4"/>
  <c r="G42" i="4"/>
  <c r="K41" i="4"/>
  <c r="G41" i="4"/>
  <c r="K40" i="4"/>
  <c r="G40" i="4"/>
  <c r="K39" i="4"/>
  <c r="G39" i="4"/>
  <c r="K38" i="4"/>
  <c r="G38" i="4"/>
  <c r="K37" i="4"/>
  <c r="G37" i="4"/>
  <c r="K36" i="4"/>
  <c r="G36" i="4"/>
  <c r="K35" i="4"/>
  <c r="G35" i="4"/>
  <c r="K34" i="4"/>
  <c r="G34" i="4"/>
  <c r="K33" i="4"/>
  <c r="G33" i="4"/>
  <c r="K32" i="4"/>
  <c r="G32" i="4"/>
  <c r="K31" i="4"/>
  <c r="G31" i="4"/>
  <c r="K30" i="4"/>
  <c r="G30" i="4"/>
  <c r="K29" i="4"/>
  <c r="G29" i="4"/>
  <c r="K28" i="4"/>
  <c r="G28" i="4"/>
  <c r="K27" i="4"/>
  <c r="G27" i="4"/>
  <c r="K26" i="4"/>
  <c r="G26" i="4"/>
  <c r="K25" i="4"/>
  <c r="G25" i="4"/>
  <c r="K24" i="4"/>
  <c r="G24" i="4"/>
  <c r="K23" i="4"/>
  <c r="G23" i="4"/>
  <c r="K22" i="4"/>
  <c r="G22" i="4"/>
  <c r="K21" i="4"/>
  <c r="G21" i="4"/>
  <c r="K20" i="4"/>
  <c r="G20" i="4"/>
  <c r="K19" i="4"/>
  <c r="G19" i="4"/>
  <c r="K18" i="4"/>
  <c r="G18" i="4"/>
  <c r="K17" i="4"/>
  <c r="G17" i="4"/>
  <c r="K16" i="4"/>
  <c r="G16" i="4"/>
  <c r="K15" i="4"/>
  <c r="G15" i="4"/>
  <c r="K14" i="4"/>
  <c r="G14" i="4"/>
  <c r="K13" i="4"/>
  <c r="G13" i="4"/>
  <c r="K12" i="4"/>
  <c r="G12" i="4"/>
  <c r="K11" i="4"/>
  <c r="G11" i="4"/>
  <c r="K10" i="4"/>
  <c r="G10" i="4"/>
  <c r="K9" i="4"/>
  <c r="G9" i="4"/>
  <c r="K8" i="4"/>
  <c r="G8" i="4"/>
  <c r="K7" i="4"/>
  <c r="G7" i="4"/>
  <c r="K6" i="4"/>
  <c r="G6" i="4"/>
  <c r="K5" i="4"/>
  <c r="G5" i="4"/>
  <c r="K4" i="4"/>
  <c r="G4" i="4"/>
  <c r="J96" i="3"/>
  <c r="F96" i="3"/>
  <c r="J95" i="3"/>
  <c r="F95" i="3"/>
  <c r="J94" i="3"/>
  <c r="F94" i="3"/>
  <c r="J93" i="3"/>
  <c r="F93" i="3"/>
  <c r="J92" i="3"/>
  <c r="F92" i="3"/>
  <c r="J91" i="3"/>
  <c r="F91" i="3"/>
  <c r="J90" i="3"/>
  <c r="F90" i="3"/>
  <c r="J89" i="3"/>
  <c r="F89" i="3"/>
  <c r="J88" i="3"/>
  <c r="F88" i="3"/>
  <c r="J87" i="3"/>
  <c r="F87" i="3"/>
  <c r="J86" i="3"/>
  <c r="F86" i="3"/>
  <c r="J85" i="3"/>
  <c r="F85" i="3"/>
  <c r="J84" i="3"/>
  <c r="F84" i="3"/>
  <c r="J83" i="3"/>
  <c r="F83" i="3"/>
  <c r="J82" i="3"/>
  <c r="F82" i="3"/>
  <c r="J81" i="3"/>
  <c r="F81" i="3"/>
  <c r="J80" i="3"/>
  <c r="F80" i="3"/>
  <c r="J79" i="3"/>
  <c r="F79" i="3"/>
  <c r="J78" i="3"/>
  <c r="F78" i="3"/>
  <c r="J77" i="3"/>
  <c r="F77" i="3"/>
  <c r="J76" i="3"/>
  <c r="F76" i="3"/>
  <c r="J75" i="3"/>
  <c r="F75" i="3"/>
  <c r="J74" i="3"/>
  <c r="F74" i="3"/>
  <c r="J73" i="3"/>
  <c r="F73" i="3"/>
  <c r="J72" i="3"/>
  <c r="F72" i="3"/>
  <c r="J71" i="3"/>
  <c r="F71" i="3"/>
  <c r="J70" i="3"/>
  <c r="F70" i="3"/>
  <c r="J69" i="3"/>
  <c r="F69" i="3"/>
  <c r="J68" i="3"/>
  <c r="F68" i="3"/>
  <c r="J67" i="3"/>
  <c r="F67" i="3"/>
  <c r="J66" i="3"/>
  <c r="F66" i="3"/>
  <c r="J65" i="3"/>
  <c r="F65" i="3"/>
  <c r="J64" i="3"/>
  <c r="F64" i="3"/>
  <c r="J63" i="3"/>
  <c r="F63" i="3"/>
  <c r="J62" i="3"/>
  <c r="F62" i="3"/>
  <c r="J61" i="3"/>
  <c r="F61" i="3"/>
  <c r="J60" i="3"/>
  <c r="F60" i="3"/>
  <c r="J59" i="3"/>
  <c r="F59" i="3"/>
  <c r="J58" i="3"/>
  <c r="F58" i="3"/>
  <c r="J57" i="3"/>
  <c r="F57" i="3"/>
  <c r="J56" i="3"/>
  <c r="F56" i="3"/>
  <c r="J55" i="3"/>
  <c r="F55" i="3"/>
  <c r="J54" i="3"/>
  <c r="F54" i="3"/>
  <c r="J53" i="3"/>
  <c r="F53" i="3"/>
  <c r="J52" i="3"/>
  <c r="F52" i="3"/>
  <c r="J51" i="3"/>
  <c r="F51" i="3"/>
  <c r="J50" i="3"/>
  <c r="F50" i="3"/>
  <c r="J49" i="3"/>
  <c r="F49" i="3"/>
  <c r="J48" i="3"/>
  <c r="F48" i="3"/>
  <c r="J47" i="3"/>
  <c r="F47" i="3"/>
  <c r="J46" i="3"/>
  <c r="F46" i="3"/>
  <c r="J45" i="3"/>
  <c r="F45" i="3"/>
  <c r="J44" i="3"/>
  <c r="F44" i="3"/>
  <c r="J43" i="3"/>
  <c r="F43" i="3"/>
  <c r="J42" i="3"/>
  <c r="F42" i="3"/>
  <c r="J41" i="3"/>
  <c r="F41" i="3"/>
  <c r="J40" i="3"/>
  <c r="F40" i="3"/>
  <c r="J39" i="3"/>
  <c r="F39" i="3"/>
  <c r="J38" i="3"/>
  <c r="F38" i="3"/>
  <c r="J37" i="3"/>
  <c r="F37" i="3"/>
  <c r="J36" i="3"/>
  <c r="F36" i="3"/>
  <c r="J35" i="3"/>
  <c r="F35" i="3"/>
  <c r="J34" i="3"/>
  <c r="F34" i="3"/>
  <c r="J33" i="3"/>
  <c r="F33" i="3"/>
  <c r="J32" i="3"/>
  <c r="F32" i="3"/>
  <c r="J31" i="3"/>
  <c r="F31" i="3"/>
  <c r="J30" i="3"/>
  <c r="F30" i="3"/>
  <c r="J29" i="3"/>
  <c r="F29" i="3"/>
  <c r="J28" i="3"/>
  <c r="F28" i="3"/>
  <c r="J27" i="3"/>
  <c r="F27" i="3"/>
  <c r="J26" i="3"/>
  <c r="F26" i="3"/>
  <c r="J25" i="3"/>
  <c r="F25" i="3"/>
  <c r="J24" i="3"/>
  <c r="F24" i="3"/>
  <c r="J23" i="3"/>
  <c r="F23" i="3"/>
  <c r="J22" i="3"/>
  <c r="F22" i="3"/>
  <c r="J21" i="3"/>
  <c r="F21" i="3"/>
  <c r="J20" i="3"/>
  <c r="F20" i="3"/>
  <c r="J19" i="3"/>
  <c r="F19" i="3"/>
  <c r="J18" i="3"/>
  <c r="F18" i="3"/>
  <c r="J17" i="3"/>
  <c r="F17" i="3"/>
  <c r="J16" i="3"/>
  <c r="F16" i="3"/>
  <c r="J15" i="3"/>
  <c r="F15" i="3"/>
  <c r="J14" i="3"/>
  <c r="F14" i="3"/>
  <c r="J13" i="3"/>
  <c r="F13" i="3"/>
  <c r="J12" i="3"/>
  <c r="F12" i="3"/>
  <c r="J11" i="3"/>
  <c r="F11" i="3"/>
  <c r="J10" i="3"/>
  <c r="F10" i="3"/>
  <c r="J9" i="3"/>
  <c r="F9" i="3"/>
  <c r="J8" i="3"/>
  <c r="F8" i="3"/>
  <c r="J7" i="3"/>
  <c r="F7" i="3"/>
  <c r="J6" i="3"/>
  <c r="F6" i="3"/>
  <c r="J5" i="3"/>
  <c r="F5" i="3"/>
  <c r="J4" i="3"/>
  <c r="F4" i="3"/>
  <c r="J96" i="2"/>
  <c r="F96" i="2"/>
  <c r="J95" i="2"/>
  <c r="F95" i="2"/>
  <c r="J94" i="2"/>
  <c r="F94" i="2"/>
  <c r="J93" i="2"/>
  <c r="F93" i="2"/>
  <c r="J92" i="2"/>
  <c r="F92" i="2"/>
  <c r="J91" i="2"/>
  <c r="F91" i="2"/>
  <c r="J90" i="2"/>
  <c r="F90" i="2"/>
  <c r="J89" i="2"/>
  <c r="F89" i="2"/>
  <c r="J88" i="2"/>
  <c r="F88" i="2"/>
  <c r="J87" i="2"/>
  <c r="F87" i="2"/>
  <c r="J86" i="2"/>
  <c r="F86" i="2"/>
  <c r="J85" i="2"/>
  <c r="F85" i="2"/>
  <c r="J84" i="2"/>
  <c r="F84" i="2"/>
  <c r="J83" i="2"/>
  <c r="F83" i="2"/>
  <c r="J82" i="2"/>
  <c r="F82" i="2"/>
  <c r="J81" i="2"/>
  <c r="F81" i="2"/>
  <c r="J80" i="2"/>
  <c r="F80" i="2"/>
  <c r="J79" i="2"/>
  <c r="F79" i="2"/>
  <c r="J78" i="2"/>
  <c r="F78" i="2"/>
  <c r="J77" i="2"/>
  <c r="F77" i="2"/>
  <c r="J76" i="2"/>
  <c r="F76" i="2"/>
  <c r="J75" i="2"/>
  <c r="F75" i="2"/>
  <c r="J74" i="2"/>
  <c r="F74" i="2"/>
  <c r="J73" i="2"/>
  <c r="F73" i="2"/>
  <c r="J72" i="2"/>
  <c r="F72" i="2"/>
  <c r="J71" i="2"/>
  <c r="F71" i="2"/>
  <c r="J70" i="2"/>
  <c r="F70" i="2"/>
  <c r="J69" i="2"/>
  <c r="F69" i="2"/>
  <c r="J68" i="2"/>
  <c r="F68" i="2"/>
  <c r="J67" i="2"/>
  <c r="F67" i="2"/>
  <c r="J66" i="2"/>
  <c r="F66" i="2"/>
  <c r="J65" i="2"/>
  <c r="F65" i="2"/>
  <c r="J64" i="2"/>
  <c r="F64" i="2"/>
  <c r="J63" i="2"/>
  <c r="F63" i="2"/>
  <c r="J62" i="2"/>
  <c r="F62" i="2"/>
  <c r="J61" i="2"/>
  <c r="F61" i="2"/>
  <c r="J60" i="2"/>
  <c r="F60" i="2"/>
  <c r="J59" i="2"/>
  <c r="F59" i="2"/>
  <c r="J58" i="2"/>
  <c r="F58" i="2"/>
  <c r="J57" i="2"/>
  <c r="F57" i="2"/>
  <c r="J56" i="2"/>
  <c r="F56" i="2"/>
  <c r="J55" i="2"/>
  <c r="F55" i="2"/>
  <c r="J54" i="2"/>
  <c r="F54" i="2"/>
  <c r="J53" i="2"/>
  <c r="F53" i="2"/>
  <c r="J52" i="2"/>
  <c r="F52" i="2"/>
  <c r="J51" i="2"/>
  <c r="F51" i="2"/>
  <c r="J50" i="2"/>
  <c r="F50" i="2"/>
  <c r="J49" i="2"/>
  <c r="F49" i="2"/>
  <c r="J48" i="2"/>
  <c r="F48" i="2"/>
  <c r="J47" i="2"/>
  <c r="F47" i="2"/>
  <c r="J46" i="2"/>
  <c r="F46" i="2"/>
  <c r="J45" i="2"/>
  <c r="F45" i="2"/>
  <c r="J44" i="2"/>
  <c r="F44" i="2"/>
  <c r="J43" i="2"/>
  <c r="F43" i="2"/>
  <c r="J42" i="2"/>
  <c r="F42" i="2"/>
  <c r="J41" i="2"/>
  <c r="F41" i="2"/>
  <c r="J40" i="2"/>
  <c r="F40" i="2"/>
  <c r="J39" i="2"/>
  <c r="F39" i="2"/>
  <c r="J38" i="2"/>
  <c r="F38" i="2"/>
  <c r="J37" i="2"/>
  <c r="F37" i="2"/>
  <c r="J36" i="2"/>
  <c r="F36" i="2"/>
  <c r="J35" i="2"/>
  <c r="F35" i="2"/>
  <c r="J34" i="2"/>
  <c r="F34" i="2"/>
  <c r="J33" i="2"/>
  <c r="F33" i="2"/>
  <c r="J32" i="2"/>
  <c r="F32" i="2"/>
  <c r="J31" i="2"/>
  <c r="F31" i="2"/>
  <c r="J30" i="2"/>
  <c r="F30" i="2"/>
  <c r="J29" i="2"/>
  <c r="F29" i="2"/>
  <c r="J28" i="2"/>
  <c r="F28" i="2"/>
  <c r="J27" i="2"/>
  <c r="F27" i="2"/>
  <c r="J26" i="2"/>
  <c r="F26" i="2"/>
  <c r="J25" i="2"/>
  <c r="F25" i="2"/>
  <c r="J24" i="2"/>
  <c r="F24" i="2"/>
  <c r="J23" i="2"/>
  <c r="F23" i="2"/>
  <c r="J22" i="2"/>
  <c r="F22" i="2"/>
  <c r="J21" i="2"/>
  <c r="F21" i="2"/>
  <c r="J20" i="2"/>
  <c r="F20" i="2"/>
  <c r="J19" i="2"/>
  <c r="F19" i="2"/>
  <c r="J18" i="2"/>
  <c r="F18" i="2"/>
  <c r="J17" i="2"/>
  <c r="F17" i="2"/>
  <c r="J16" i="2"/>
  <c r="F16" i="2"/>
  <c r="J15" i="2"/>
  <c r="F15" i="2"/>
  <c r="J14" i="2"/>
  <c r="F14" i="2"/>
  <c r="J13" i="2"/>
  <c r="F13" i="2"/>
  <c r="J12" i="2"/>
  <c r="F12" i="2"/>
  <c r="J11" i="2"/>
  <c r="F11" i="2"/>
  <c r="J10" i="2"/>
  <c r="F10" i="2"/>
  <c r="J9" i="2"/>
  <c r="F9" i="2"/>
  <c r="J8" i="2"/>
  <c r="J7" i="2"/>
  <c r="J6" i="2"/>
  <c r="F6" i="2"/>
  <c r="J5" i="2"/>
  <c r="F5" i="2"/>
  <c r="J4" i="2"/>
</calcChain>
</file>

<file path=xl/sharedStrings.xml><?xml version="1.0" encoding="utf-8"?>
<sst xmlns="http://schemas.openxmlformats.org/spreadsheetml/2006/main" count="781" uniqueCount="77">
  <si>
    <t>#</t>
  </si>
  <si>
    <t>Aislado</t>
  </si>
  <si>
    <t>Grupo para actividad</t>
  </si>
  <si>
    <t>ACTIVIDAD (Método envenenamiento) (RADIO en mm)</t>
  </si>
  <si>
    <t>ACTIVIDAD (Método envenenamiento) (PRODUCCIÓN CONIDIAS) (Log Conidias/ml)</t>
  </si>
  <si>
    <t>MACERACIÓN (5 días)</t>
  </si>
  <si>
    <t>C1 
(5 mg/ml)</t>
  </si>
  <si>
    <t>C4 
(CTROL)</t>
  </si>
  <si>
    <t>%INH
C1</t>
  </si>
  <si>
    <t>RÉPLICA 1</t>
  </si>
  <si>
    <t>RÉPLICA 2</t>
  </si>
  <si>
    <t>RÉPLICA 3</t>
  </si>
  <si>
    <t>HC3</t>
  </si>
  <si>
    <t>Grupo 3 - H19</t>
  </si>
  <si>
    <t>HC5</t>
  </si>
  <si>
    <t>Grupo 1 - H1</t>
  </si>
  <si>
    <t>HC6</t>
  </si>
  <si>
    <t>Grupo 4 - H28</t>
  </si>
  <si>
    <t>HC9</t>
  </si>
  <si>
    <t>Grupo 4 - H20</t>
  </si>
  <si>
    <t>HC10</t>
  </si>
  <si>
    <t>Grupo 1 - H2</t>
  </si>
  <si>
    <t>HC15</t>
  </si>
  <si>
    <t>Grupo 1 - H3</t>
  </si>
  <si>
    <t>HC16</t>
  </si>
  <si>
    <t>Grupo 1 - H4</t>
  </si>
  <si>
    <t>HC17</t>
  </si>
  <si>
    <t>Grupo 3 - H21</t>
  </si>
  <si>
    <t>HC19</t>
  </si>
  <si>
    <t>Grupo 1 - H5</t>
  </si>
  <si>
    <t>HC20</t>
  </si>
  <si>
    <t>Grupo 1 - H6</t>
  </si>
  <si>
    <t>HC23</t>
  </si>
  <si>
    <t>Grupo 1 - H7</t>
  </si>
  <si>
    <t>HC26</t>
  </si>
  <si>
    <t>Grupo 3 - H22</t>
  </si>
  <si>
    <t>HC27</t>
  </si>
  <si>
    <t>Grupo 1 - H8</t>
  </si>
  <si>
    <t>HC28</t>
  </si>
  <si>
    <t>Grupo 1 - H9</t>
  </si>
  <si>
    <t>H4B</t>
  </si>
  <si>
    <t>Grupo 4 - H29</t>
  </si>
  <si>
    <t>H6B</t>
  </si>
  <si>
    <t>Grupo 4 - H30</t>
  </si>
  <si>
    <t>H4G</t>
  </si>
  <si>
    <t>Grupo 4 - H31</t>
  </si>
  <si>
    <t>H8G</t>
  </si>
  <si>
    <t>Grupo 4 - H32</t>
  </si>
  <si>
    <t>H11G</t>
  </si>
  <si>
    <t>Grupo 4 - H33</t>
  </si>
  <si>
    <t>H1N</t>
  </si>
  <si>
    <t>Grupo 2 - H10</t>
  </si>
  <si>
    <t>H2N</t>
  </si>
  <si>
    <t>Grupo 2 - H11</t>
  </si>
  <si>
    <t>H3N</t>
  </si>
  <si>
    <t>Grupo 2 - H12</t>
  </si>
  <si>
    <t>H4N</t>
  </si>
  <si>
    <t>Grupo 2 - H13</t>
  </si>
  <si>
    <t>H5N</t>
  </si>
  <si>
    <t>Grupo 2 - H14</t>
  </si>
  <si>
    <t>H6N</t>
  </si>
  <si>
    <t>Grupo 2 - H15</t>
  </si>
  <si>
    <t>H8N</t>
  </si>
  <si>
    <t>Grupo 3 - H24</t>
  </si>
  <si>
    <t>H9N</t>
  </si>
  <si>
    <t>Grupo 2 - H16</t>
  </si>
  <si>
    <t>FU1</t>
  </si>
  <si>
    <t>Grupo 2 - H17</t>
  </si>
  <si>
    <t>FU2 (UCMU21)</t>
  </si>
  <si>
    <t>Grupo 3 - H25</t>
  </si>
  <si>
    <t>FUSARIUM JULIAN H20</t>
  </si>
  <si>
    <t>Grupo 4 - H18</t>
  </si>
  <si>
    <t>FUSARIUM MARCE 1.2</t>
  </si>
  <si>
    <t>Grupo 3 - H27</t>
  </si>
  <si>
    <t>SOXHLET (5 días)</t>
  </si>
  <si>
    <t>Grupo 3 - H20</t>
  </si>
  <si>
    <t>Grupo 2 - H18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</si>
</sst>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B2A1C7"/>
        <bgColor rgb="FFB2A1C7"/>
      </patternFill>
    </fill>
    <fill>
      <patternFill patternType="solid">
        <fgColor rgb="FFCCC0D9"/>
        <bgColor rgb="FFCCC0D9"/>
      </patternFill>
    </fill>
    <fill>
      <patternFill patternType="solid">
        <fgColor rgb="FF76923C"/>
        <bgColor rgb="FF76923C"/>
      </patternFill>
    </fill>
    <fill>
      <patternFill patternType="solid">
        <fgColor rgb="FFC2D69B"/>
        <bgColor rgb="FFC2D69B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vertical="center" wrapText="1"/>
    </xf>
    <xf numFmtId="0" fontId="6" fillId="3" borderId="18" xfId="0" applyFont="1" applyFill="1" applyBorder="1" applyAlignment="1">
      <alignment vertical="center" wrapText="1"/>
    </xf>
    <xf numFmtId="2" fontId="6" fillId="3" borderId="18" xfId="0" applyNumberFormat="1" applyFont="1" applyFill="1" applyBorder="1" applyAlignment="1">
      <alignment vertical="center" wrapText="1"/>
    </xf>
    <xf numFmtId="0" fontId="5" fillId="3" borderId="17" xfId="0" applyFont="1" applyFill="1" applyBorder="1" applyAlignment="1">
      <alignment horizontal="center" vertical="center"/>
    </xf>
    <xf numFmtId="164" fontId="6" fillId="3" borderId="18" xfId="0" applyNumberFormat="1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2" fontId="6" fillId="3" borderId="2" xfId="0" applyNumberFormat="1" applyFont="1" applyFill="1" applyBorder="1" applyAlignment="1">
      <alignment vertical="center" wrapText="1"/>
    </xf>
    <xf numFmtId="0" fontId="5" fillId="3" borderId="23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vertical="center" wrapText="1"/>
    </xf>
    <xf numFmtId="0" fontId="5" fillId="2" borderId="10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vertical="center" wrapText="1"/>
    </xf>
    <xf numFmtId="0" fontId="6" fillId="2" borderId="27" xfId="0" applyFont="1" applyFill="1" applyBorder="1" applyAlignment="1">
      <alignment vertical="center" wrapText="1"/>
    </xf>
    <xf numFmtId="2" fontId="6" fillId="2" borderId="27" xfId="0" applyNumberFormat="1" applyFont="1" applyFill="1" applyBorder="1" applyAlignment="1">
      <alignment vertical="center" wrapText="1"/>
    </xf>
    <xf numFmtId="0" fontId="5" fillId="2" borderId="26" xfId="0" applyFont="1" applyFill="1" applyBorder="1" applyAlignment="1">
      <alignment horizontal="center" vertical="center"/>
    </xf>
    <xf numFmtId="164" fontId="6" fillId="2" borderId="27" xfId="0" applyNumberFormat="1" applyFont="1" applyFill="1" applyBorder="1" applyAlignment="1">
      <alignment vertical="center" wrapText="1"/>
    </xf>
    <xf numFmtId="0" fontId="5" fillId="2" borderId="2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vertical="center" wrapText="1"/>
    </xf>
    <xf numFmtId="2" fontId="6" fillId="2" borderId="18" xfId="0" applyNumberFormat="1" applyFont="1" applyFill="1" applyBorder="1" applyAlignment="1">
      <alignment vertical="center" wrapText="1"/>
    </xf>
    <xf numFmtId="0" fontId="5" fillId="2" borderId="17" xfId="0" applyFont="1" applyFill="1" applyBorder="1" applyAlignment="1">
      <alignment horizontal="center" vertical="center"/>
    </xf>
    <xf numFmtId="164" fontId="6" fillId="2" borderId="18" xfId="0" applyNumberFormat="1" applyFont="1" applyFill="1" applyBorder="1" applyAlignment="1">
      <alignment vertical="center" wrapText="1"/>
    </xf>
    <xf numFmtId="0" fontId="5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 wrapText="1"/>
    </xf>
    <xf numFmtId="0" fontId="6" fillId="2" borderId="36" xfId="0" applyFont="1" applyFill="1" applyBorder="1" applyAlignment="1">
      <alignment vertical="center" wrapText="1"/>
    </xf>
    <xf numFmtId="2" fontId="6" fillId="2" borderId="36" xfId="0" applyNumberFormat="1" applyFont="1" applyFill="1" applyBorder="1" applyAlignment="1">
      <alignment vertical="center" wrapText="1"/>
    </xf>
    <xf numFmtId="0" fontId="5" fillId="2" borderId="34" xfId="0" applyFont="1" applyFill="1" applyBorder="1" applyAlignment="1">
      <alignment horizontal="center" vertical="center"/>
    </xf>
    <xf numFmtId="164" fontId="6" fillId="2" borderId="36" xfId="0" applyNumberFormat="1" applyFont="1" applyFill="1" applyBorder="1" applyAlignment="1">
      <alignment vertical="center" wrapText="1"/>
    </xf>
    <xf numFmtId="0" fontId="5" fillId="7" borderId="10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vertical="center" wrapText="1"/>
    </xf>
    <xf numFmtId="0" fontId="6" fillId="7" borderId="27" xfId="0" applyFont="1" applyFill="1" applyBorder="1" applyAlignment="1">
      <alignment vertical="center" wrapText="1"/>
    </xf>
    <xf numFmtId="2" fontId="6" fillId="7" borderId="27" xfId="0" applyNumberFormat="1" applyFont="1" applyFill="1" applyBorder="1" applyAlignment="1">
      <alignment vertical="center" wrapText="1"/>
    </xf>
    <xf numFmtId="0" fontId="5" fillId="7" borderId="26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vertical="center" wrapText="1"/>
    </xf>
    <xf numFmtId="164" fontId="6" fillId="7" borderId="27" xfId="0" applyNumberFormat="1" applyFont="1" applyFill="1" applyBorder="1" applyAlignment="1">
      <alignment vertical="center" wrapText="1"/>
    </xf>
    <xf numFmtId="0" fontId="5" fillId="7" borderId="2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vertical="center" wrapText="1"/>
    </xf>
    <xf numFmtId="0" fontId="6" fillId="7" borderId="18" xfId="0" applyFont="1" applyFill="1" applyBorder="1" applyAlignment="1">
      <alignment vertical="center" wrapText="1"/>
    </xf>
    <xf numFmtId="2" fontId="6" fillId="7" borderId="18" xfId="0" applyNumberFormat="1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/>
    </xf>
    <xf numFmtId="164" fontId="6" fillId="7" borderId="18" xfId="0" applyNumberFormat="1" applyFont="1" applyFill="1" applyBorder="1" applyAlignment="1">
      <alignment vertical="center" wrapText="1"/>
    </xf>
    <xf numFmtId="0" fontId="5" fillId="7" borderId="33" xfId="0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vertical="center" wrapText="1"/>
    </xf>
    <xf numFmtId="0" fontId="6" fillId="7" borderId="35" xfId="0" applyFont="1" applyFill="1" applyBorder="1" applyAlignment="1">
      <alignment vertical="center" wrapText="1"/>
    </xf>
    <xf numFmtId="0" fontId="6" fillId="7" borderId="36" xfId="0" applyFont="1" applyFill="1" applyBorder="1" applyAlignment="1">
      <alignment vertical="center" wrapText="1"/>
    </xf>
    <xf numFmtId="2" fontId="6" fillId="7" borderId="36" xfId="0" applyNumberFormat="1" applyFont="1" applyFill="1" applyBorder="1" applyAlignment="1">
      <alignment vertical="center" wrapText="1"/>
    </xf>
    <xf numFmtId="0" fontId="5" fillId="7" borderId="34" xfId="0" applyFont="1" applyFill="1" applyBorder="1" applyAlignment="1">
      <alignment horizontal="center" vertical="center"/>
    </xf>
    <xf numFmtId="164" fontId="6" fillId="7" borderId="36" xfId="0" applyNumberFormat="1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vertical="center" wrapText="1"/>
    </xf>
    <xf numFmtId="0" fontId="6" fillId="3" borderId="27" xfId="0" applyFont="1" applyFill="1" applyBorder="1" applyAlignment="1">
      <alignment vertical="center" wrapText="1"/>
    </xf>
    <xf numFmtId="2" fontId="6" fillId="3" borderId="27" xfId="0" applyNumberFormat="1" applyFont="1" applyFill="1" applyBorder="1" applyAlignment="1">
      <alignment vertical="center" wrapText="1"/>
    </xf>
    <xf numFmtId="0" fontId="5" fillId="3" borderId="26" xfId="0" applyFont="1" applyFill="1" applyBorder="1" applyAlignment="1">
      <alignment horizontal="center" vertical="center"/>
    </xf>
    <xf numFmtId="164" fontId="6" fillId="3" borderId="27" xfId="0" applyNumberFormat="1" applyFont="1" applyFill="1" applyBorder="1" applyAlignment="1">
      <alignment vertical="center" wrapText="1"/>
    </xf>
    <xf numFmtId="0" fontId="5" fillId="3" borderId="33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vertical="center" wrapText="1"/>
    </xf>
    <xf numFmtId="0" fontId="6" fillId="3" borderId="36" xfId="0" applyFont="1" applyFill="1" applyBorder="1" applyAlignment="1">
      <alignment vertical="center" wrapText="1"/>
    </xf>
    <xf numFmtId="2" fontId="6" fillId="3" borderId="36" xfId="0" applyNumberFormat="1" applyFont="1" applyFill="1" applyBorder="1" applyAlignment="1">
      <alignment vertical="center" wrapText="1"/>
    </xf>
    <xf numFmtId="0" fontId="5" fillId="3" borderId="34" xfId="0" applyFont="1" applyFill="1" applyBorder="1" applyAlignment="1">
      <alignment horizontal="center" vertical="center"/>
    </xf>
    <xf numFmtId="164" fontId="6" fillId="3" borderId="36" xfId="0" applyNumberFormat="1" applyFont="1" applyFill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2" fontId="6" fillId="2" borderId="14" xfId="0" applyNumberFormat="1" applyFont="1" applyFill="1" applyBorder="1" applyAlignment="1">
      <alignment vertical="center" wrapText="1"/>
    </xf>
    <xf numFmtId="0" fontId="5" fillId="2" borderId="38" xfId="0" applyFont="1" applyFill="1" applyBorder="1" applyAlignment="1">
      <alignment horizontal="center" vertical="center"/>
    </xf>
    <xf numFmtId="164" fontId="6" fillId="2" borderId="14" xfId="0" applyNumberFormat="1" applyFont="1" applyFill="1" applyBorder="1" applyAlignment="1">
      <alignment vertical="center" wrapText="1"/>
    </xf>
    <xf numFmtId="0" fontId="6" fillId="2" borderId="3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2" fontId="6" fillId="2" borderId="2" xfId="0" applyNumberFormat="1" applyFont="1" applyFill="1" applyBorder="1" applyAlignment="1">
      <alignment vertical="center" wrapText="1"/>
    </xf>
    <xf numFmtId="0" fontId="5" fillId="2" borderId="23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vertical="center" wrapText="1"/>
    </xf>
    <xf numFmtId="0" fontId="6" fillId="2" borderId="23" xfId="0" applyFont="1" applyFill="1" applyBorder="1" applyAlignment="1">
      <alignment vertical="center" wrapText="1"/>
    </xf>
    <xf numFmtId="0" fontId="9" fillId="7" borderId="34" xfId="0" applyFont="1" applyFill="1" applyBorder="1" applyAlignment="1">
      <alignment vertical="center" wrapText="1"/>
    </xf>
    <xf numFmtId="0" fontId="6" fillId="7" borderId="23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2" fontId="6" fillId="7" borderId="2" xfId="0" applyNumberFormat="1" applyFont="1" applyFill="1" applyBorder="1" applyAlignment="1">
      <alignment vertical="center" wrapText="1"/>
    </xf>
    <xf numFmtId="0" fontId="5" fillId="7" borderId="23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vertical="center" wrapText="1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9" fillId="7" borderId="38" xfId="0" applyFont="1" applyFill="1" applyBorder="1" applyAlignment="1">
      <alignment vertical="center" wrapText="1"/>
    </xf>
    <xf numFmtId="0" fontId="6" fillId="7" borderId="14" xfId="0" applyFont="1" applyFill="1" applyBorder="1" applyAlignment="1">
      <alignment vertical="center" wrapText="1"/>
    </xf>
    <xf numFmtId="2" fontId="6" fillId="7" borderId="14" xfId="0" applyNumberFormat="1" applyFont="1" applyFill="1" applyBorder="1" applyAlignment="1">
      <alignment vertical="center" wrapText="1"/>
    </xf>
    <xf numFmtId="0" fontId="5" fillId="7" borderId="38" xfId="0" applyFont="1" applyFill="1" applyBorder="1" applyAlignment="1">
      <alignment horizontal="center" vertical="center"/>
    </xf>
    <xf numFmtId="0" fontId="6" fillId="7" borderId="38" xfId="0" applyFont="1" applyFill="1" applyBorder="1" applyAlignment="1">
      <alignment vertical="center" wrapText="1"/>
    </xf>
    <xf numFmtId="164" fontId="6" fillId="7" borderId="14" xfId="0" applyNumberFormat="1" applyFont="1" applyFill="1" applyBorder="1" applyAlignment="1">
      <alignment vertical="center" wrapText="1"/>
    </xf>
    <xf numFmtId="0" fontId="5" fillId="3" borderId="16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vertical="center" wrapText="1"/>
    </xf>
    <xf numFmtId="2" fontId="6" fillId="3" borderId="14" xfId="0" applyNumberFormat="1" applyFont="1" applyFill="1" applyBorder="1" applyAlignment="1">
      <alignment vertical="center" wrapText="1"/>
    </xf>
    <xf numFmtId="0" fontId="5" fillId="3" borderId="38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vertical="center" wrapText="1"/>
    </xf>
    <xf numFmtId="164" fontId="6" fillId="3" borderId="14" xfId="0" applyNumberFormat="1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vertical="center" wrapText="1"/>
    </xf>
    <xf numFmtId="0" fontId="6" fillId="8" borderId="27" xfId="0" applyFont="1" applyFill="1" applyBorder="1" applyAlignment="1">
      <alignment vertical="center" wrapText="1"/>
    </xf>
    <xf numFmtId="2" fontId="6" fillId="8" borderId="27" xfId="0" applyNumberFormat="1" applyFont="1" applyFill="1" applyBorder="1" applyAlignment="1">
      <alignment vertical="center" wrapText="1"/>
    </xf>
    <xf numFmtId="0" fontId="5" fillId="8" borderId="26" xfId="0" applyFont="1" applyFill="1" applyBorder="1" applyAlignment="1">
      <alignment horizontal="center" vertical="center"/>
    </xf>
    <xf numFmtId="164" fontId="6" fillId="8" borderId="27" xfId="0" applyNumberFormat="1" applyFont="1" applyFill="1" applyBorder="1" applyAlignment="1">
      <alignment vertical="center" wrapText="1"/>
    </xf>
    <xf numFmtId="0" fontId="6" fillId="8" borderId="28" xfId="0" applyFont="1" applyFill="1" applyBorder="1" applyAlignment="1">
      <alignment vertical="center" wrapText="1"/>
    </xf>
    <xf numFmtId="0" fontId="5" fillId="8" borderId="21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vertical="center" wrapText="1"/>
    </xf>
    <xf numFmtId="0" fontId="6" fillId="8" borderId="18" xfId="0" applyFont="1" applyFill="1" applyBorder="1" applyAlignment="1">
      <alignment vertical="center" wrapText="1"/>
    </xf>
    <xf numFmtId="2" fontId="6" fillId="8" borderId="18" xfId="0" applyNumberFormat="1" applyFont="1" applyFill="1" applyBorder="1" applyAlignment="1">
      <alignment vertical="center" wrapText="1"/>
    </xf>
    <xf numFmtId="0" fontId="5" fillId="8" borderId="17" xfId="0" applyFont="1" applyFill="1" applyBorder="1" applyAlignment="1">
      <alignment horizontal="center" vertical="center"/>
    </xf>
    <xf numFmtId="164" fontId="6" fillId="8" borderId="18" xfId="0" applyNumberFormat="1" applyFont="1" applyFill="1" applyBorder="1" applyAlignment="1">
      <alignment vertical="center" wrapText="1"/>
    </xf>
    <xf numFmtId="0" fontId="6" fillId="8" borderId="19" xfId="0" applyFont="1" applyFill="1" applyBorder="1" applyAlignment="1">
      <alignment vertical="center" wrapText="1"/>
    </xf>
    <xf numFmtId="0" fontId="5" fillId="8" borderId="33" xfId="0" applyFont="1" applyFill="1" applyBorder="1" applyAlignment="1">
      <alignment horizontal="center" vertical="center"/>
    </xf>
    <xf numFmtId="0" fontId="6" fillId="8" borderId="34" xfId="0" applyFont="1" applyFill="1" applyBorder="1" applyAlignment="1">
      <alignment vertical="center" wrapText="1"/>
    </xf>
    <xf numFmtId="0" fontId="6" fillId="8" borderId="36" xfId="0" applyFont="1" applyFill="1" applyBorder="1" applyAlignment="1">
      <alignment vertical="center" wrapText="1"/>
    </xf>
    <xf numFmtId="2" fontId="6" fillId="8" borderId="36" xfId="0" applyNumberFormat="1" applyFont="1" applyFill="1" applyBorder="1" applyAlignment="1">
      <alignment vertical="center" wrapText="1"/>
    </xf>
    <xf numFmtId="0" fontId="5" fillId="8" borderId="34" xfId="0" applyFont="1" applyFill="1" applyBorder="1" applyAlignment="1">
      <alignment horizontal="center" vertical="center"/>
    </xf>
    <xf numFmtId="164" fontId="6" fillId="8" borderId="36" xfId="0" applyNumberFormat="1" applyFont="1" applyFill="1" applyBorder="1" applyAlignment="1">
      <alignment vertical="center" wrapText="1"/>
    </xf>
    <xf numFmtId="0" fontId="6" fillId="8" borderId="37" xfId="0" applyFont="1" applyFill="1" applyBorder="1" applyAlignment="1">
      <alignment vertical="center" wrapText="1"/>
    </xf>
    <xf numFmtId="0" fontId="9" fillId="8" borderId="34" xfId="0" applyFont="1" applyFill="1" applyBorder="1" applyAlignment="1">
      <alignment vertical="center" wrapText="1"/>
    </xf>
    <xf numFmtId="0" fontId="9" fillId="8" borderId="26" xfId="0" applyFont="1" applyFill="1" applyBorder="1" applyAlignment="1">
      <alignment vertical="center" wrapText="1"/>
    </xf>
    <xf numFmtId="0" fontId="6" fillId="8" borderId="23" xfId="0" applyFont="1" applyFill="1" applyBorder="1" applyAlignment="1">
      <alignment vertical="center" wrapText="1"/>
    </xf>
    <xf numFmtId="2" fontId="6" fillId="8" borderId="2" xfId="0" applyNumberFormat="1" applyFont="1" applyFill="1" applyBorder="1" applyAlignment="1">
      <alignment vertical="center" wrapText="1"/>
    </xf>
    <xf numFmtId="0" fontId="5" fillId="8" borderId="23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0" fontId="5" fillId="8" borderId="40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horizontal="center" vertical="center"/>
    </xf>
    <xf numFmtId="0" fontId="6" fillId="8" borderId="38" xfId="0" applyFont="1" applyFill="1" applyBorder="1" applyAlignment="1">
      <alignment vertical="center" wrapText="1"/>
    </xf>
    <xf numFmtId="0" fontId="6" fillId="8" borderId="14" xfId="0" applyFont="1" applyFill="1" applyBorder="1" applyAlignment="1">
      <alignment vertical="center" wrapText="1"/>
    </xf>
    <xf numFmtId="2" fontId="6" fillId="8" borderId="14" xfId="0" applyNumberFormat="1" applyFont="1" applyFill="1" applyBorder="1" applyAlignment="1">
      <alignment vertical="center" wrapText="1"/>
    </xf>
    <xf numFmtId="0" fontId="5" fillId="8" borderId="38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164" fontId="6" fillId="8" borderId="14" xfId="0" applyNumberFormat="1" applyFont="1" applyFill="1" applyBorder="1" applyAlignment="1">
      <alignment vertical="center" wrapText="1"/>
    </xf>
    <xf numFmtId="0" fontId="1" fillId="0" borderId="0" xfId="0" applyFont="1"/>
    <xf numFmtId="0" fontId="5" fillId="0" borderId="0" xfId="0" applyFont="1"/>
    <xf numFmtId="0" fontId="5" fillId="3" borderId="3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vertical="center" wrapText="1"/>
    </xf>
    <xf numFmtId="0" fontId="9" fillId="7" borderId="23" xfId="0" applyFont="1" applyFill="1" applyBorder="1" applyAlignment="1">
      <alignment vertical="center" wrapText="1"/>
    </xf>
    <xf numFmtId="0" fontId="9" fillId="2" borderId="26" xfId="0" applyFont="1" applyFill="1" applyBorder="1" applyAlignment="1">
      <alignment vertical="center" wrapText="1"/>
    </xf>
    <xf numFmtId="0" fontId="9" fillId="2" borderId="17" xfId="0" applyFont="1" applyFill="1" applyBorder="1" applyAlignment="1">
      <alignment vertical="center" wrapText="1"/>
    </xf>
    <xf numFmtId="0" fontId="9" fillId="2" borderId="34" xfId="0" applyFont="1" applyFill="1" applyBorder="1" applyAlignment="1">
      <alignment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31" xfId="0" applyFont="1" applyBorder="1"/>
    <xf numFmtId="0" fontId="8" fillId="3" borderId="5" xfId="0" applyFont="1" applyFill="1" applyBorder="1" applyAlignment="1">
      <alignment horizontal="center" vertical="center"/>
    </xf>
    <xf numFmtId="0" fontId="4" fillId="0" borderId="0" xfId="0" applyFont="1"/>
    <xf numFmtId="0" fontId="4" fillId="0" borderId="32" xfId="0" applyFont="1" applyBorder="1"/>
    <xf numFmtId="0" fontId="7" fillId="2" borderId="2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8" fillId="2" borderId="3" xfId="0" applyFont="1" applyFill="1" applyBorder="1" applyAlignment="1">
      <alignment horizontal="center" vertical="center"/>
    </xf>
    <xf numFmtId="0" fontId="4" fillId="0" borderId="15" xfId="0" applyFont="1" applyBorder="1"/>
    <xf numFmtId="0" fontId="7" fillId="8" borderId="2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3" fillId="6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3" fillId="5" borderId="10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3" fillId="6" borderId="12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3" fillId="6" borderId="10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5" fillId="8" borderId="24" xfId="0" applyFont="1" applyFill="1" applyBorder="1" applyAlignment="1">
      <alignment horizontal="center" vertical="center"/>
    </xf>
    <xf numFmtId="0" fontId="4" fillId="0" borderId="29" xfId="0" applyFont="1" applyBorder="1"/>
    <xf numFmtId="0" fontId="4" fillId="0" borderId="30" xfId="0" applyFont="1" applyBorder="1"/>
    <xf numFmtId="0" fontId="5" fillId="2" borderId="2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7" xfId="0" applyFont="1" applyBorder="1"/>
    <xf numFmtId="0" fontId="5" fillId="3" borderId="2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3" xfId="0" applyFont="1" applyBorder="1"/>
    <xf numFmtId="0" fontId="3" fillId="11" borderId="4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96</xdr:row>
      <xdr:rowOff>0</xdr:rowOff>
    </xdr:from>
    <xdr:ext cx="333375" cy="3524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26EF7A51-F502-49AB-826A-E62EA84A87A5}"/>
            </a:ext>
          </a:extLst>
        </xdr:cNvPr>
        <xdr:cNvSpPr/>
      </xdr:nvSpPr>
      <xdr:spPr>
        <a:xfrm>
          <a:off x="1352550" y="32794575"/>
          <a:ext cx="3333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96</xdr:row>
      <xdr:rowOff>0</xdr:rowOff>
    </xdr:from>
    <xdr:ext cx="333375" cy="3524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44B720B0-1543-4707-9D91-C02EB7F6F417}"/>
            </a:ext>
          </a:extLst>
        </xdr:cNvPr>
        <xdr:cNvSpPr/>
      </xdr:nvSpPr>
      <xdr:spPr>
        <a:xfrm>
          <a:off x="1352550" y="32794575"/>
          <a:ext cx="3333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vosor/Downloads/FUSARIUM%20-%20PROYECTO%20SISTEMATIZACI&#211;N%20(marzo2023).xlsx" TargetMode="External"/><Relationship Id="rId1" Type="http://schemas.openxmlformats.org/officeDocument/2006/relationships/externalLinkPath" Target="/Users/vosor/Downloads/FUSARIUM%20-%20PROYECTO%20SISTEMATIZACI&#211;N%20(marzo20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NGOS"/>
      <sheetName val="EXTRACCIONES"/>
      <sheetName val="MACERACIÓN"/>
      <sheetName val="CARBENDAZIM"/>
      <sheetName val="SOXHLET"/>
      <sheetName val="ULTRASONIDO"/>
      <sheetName val="PLACA 96 492 (2)"/>
      <sheetName val="Listas"/>
      <sheetName val="CRONOGRAMA"/>
    </sheetNames>
    <sheetDataSet>
      <sheetData sheetId="0"/>
      <sheetData sheetId="1"/>
      <sheetData sheetId="2">
        <row r="109">
          <cell r="D109" t="str">
            <v>H1 - HC5</v>
          </cell>
        </row>
      </sheetData>
      <sheetData sheetId="3"/>
      <sheetData sheetId="4">
        <row r="109">
          <cell r="B109" t="str">
            <v>HC3</v>
          </cell>
        </row>
      </sheetData>
      <sheetData sheetId="5">
        <row r="109">
          <cell r="B109" t="str">
            <v>HC3</v>
          </cell>
        </row>
      </sheetData>
      <sheetData sheetId="6"/>
      <sheetData sheetId="7">
        <row r="2">
          <cell r="A2" t="str">
            <v>Circular</v>
          </cell>
          <cell r="B2" t="str">
            <v>Plana y extendida</v>
          </cell>
          <cell r="C2" t="str">
            <v>Algodonosa</v>
          </cell>
          <cell r="D2" t="str">
            <v>Brillante o húmeda</v>
          </cell>
          <cell r="E2" t="str">
            <v>Lisa</v>
          </cell>
          <cell r="F2" t="str">
            <v>Liso (entero)</v>
          </cell>
        </row>
        <row r="3">
          <cell r="A3" t="str">
            <v>Irregular</v>
          </cell>
          <cell r="B3" t="str">
            <v>Elevada y limitada</v>
          </cell>
          <cell r="C3" t="str">
            <v>Pulverulenta</v>
          </cell>
          <cell r="D3" t="str">
            <v>Opaca o seca</v>
          </cell>
          <cell r="E3" t="str">
            <v>Plegada</v>
          </cell>
          <cell r="F3" t="str">
            <v>Ondulado</v>
          </cell>
        </row>
        <row r="4">
          <cell r="A4" t="str">
            <v>Filamentosa</v>
          </cell>
          <cell r="B4" t="str">
            <v>Convexa umbilicada</v>
          </cell>
          <cell r="C4" t="str">
            <v>Granular</v>
          </cell>
          <cell r="E4" t="str">
            <v>Sectorizada</v>
          </cell>
          <cell r="F4" t="str">
            <v>Lobado</v>
          </cell>
        </row>
        <row r="5">
          <cell r="A5" t="str">
            <v>Rizoidal</v>
          </cell>
          <cell r="C5" t="str">
            <v>Lanosa</v>
          </cell>
          <cell r="E5" t="str">
            <v>Cerebriforme</v>
          </cell>
          <cell r="F5" t="str">
            <v>Desflecado</v>
          </cell>
        </row>
        <row r="6">
          <cell r="C6" t="str">
            <v>Aterciopelada</v>
          </cell>
          <cell r="E6" t="str">
            <v>Con surcos radiales</v>
          </cell>
        </row>
        <row r="7">
          <cell r="C7" t="str">
            <v>Mucosa</v>
          </cell>
        </row>
        <row r="8">
          <cell r="C8" t="str">
            <v>Cremosa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D0F0-1B36-4841-AA8A-8FE1705096D8}">
  <dimension ref="A1:J956"/>
  <sheetViews>
    <sheetView tabSelected="1" workbookViewId="0">
      <pane xSplit="1" ySplit="3" topLeftCell="B54" activePane="bottomRight" state="frozen"/>
      <selection pane="topRight" activeCell="C1" sqref="C1"/>
      <selection pane="bottomLeft" activeCell="A4" sqref="A4"/>
      <selection pane="bottomRight" activeCell="I85" sqref="I85:I87"/>
    </sheetView>
  </sheetViews>
  <sheetFormatPr defaultColWidth="14.42578125" defaultRowHeight="15" customHeight="1" x14ac:dyDescent="0.25"/>
  <cols>
    <col min="1" max="1" width="14" customWidth="1"/>
    <col min="3" max="3" width="12.7109375" customWidth="1"/>
    <col min="4" max="4" width="8.7109375" customWidth="1"/>
    <col min="5" max="5" width="7.42578125" customWidth="1"/>
    <col min="6" max="6" width="7.140625" customWidth="1"/>
    <col min="7" max="7" width="11.5703125" customWidth="1"/>
    <col min="8" max="8" width="7.5703125" customWidth="1"/>
    <col min="9" max="9" width="7.42578125" customWidth="1"/>
    <col min="10" max="10" width="5.7109375" customWidth="1"/>
  </cols>
  <sheetData>
    <row r="1" spans="1:10" ht="24" customHeight="1" thickBot="1" x14ac:dyDescent="0.3">
      <c r="A1" s="193" t="s">
        <v>1</v>
      </c>
      <c r="B1" s="194" t="s">
        <v>2</v>
      </c>
      <c r="C1" s="195" t="s">
        <v>3</v>
      </c>
      <c r="D1" s="196"/>
      <c r="E1" s="196"/>
      <c r="F1" s="196"/>
      <c r="G1" s="197" t="s">
        <v>4</v>
      </c>
      <c r="H1" s="174"/>
      <c r="I1" s="174"/>
      <c r="J1" s="174"/>
    </row>
    <row r="2" spans="1:10" ht="11.25" customHeight="1" x14ac:dyDescent="0.25">
      <c r="A2" s="171"/>
      <c r="B2" s="174"/>
      <c r="C2" s="198"/>
      <c r="D2" s="200" t="s">
        <v>5</v>
      </c>
      <c r="E2" s="201"/>
      <c r="F2" s="201"/>
      <c r="G2" s="202"/>
      <c r="H2" s="204" t="s">
        <v>5</v>
      </c>
      <c r="I2" s="201"/>
      <c r="J2" s="201"/>
    </row>
    <row r="3" spans="1:10" ht="23.25" thickBot="1" x14ac:dyDescent="0.3">
      <c r="A3" s="179"/>
      <c r="B3" s="181"/>
      <c r="C3" s="199"/>
      <c r="D3" s="1" t="s">
        <v>6</v>
      </c>
      <c r="E3" s="2" t="s">
        <v>7</v>
      </c>
      <c r="F3" s="2" t="s">
        <v>8</v>
      </c>
      <c r="G3" s="203"/>
      <c r="H3" s="3" t="s">
        <v>6</v>
      </c>
      <c r="I3" s="4" t="s">
        <v>7</v>
      </c>
      <c r="J3" s="4" t="s">
        <v>8</v>
      </c>
    </row>
    <row r="4" spans="1:10" ht="24.75" customHeight="1" thickBot="1" x14ac:dyDescent="0.3">
      <c r="A4" s="192" t="s">
        <v>12</v>
      </c>
      <c r="B4" s="177" t="s">
        <v>13</v>
      </c>
      <c r="C4" s="17" t="s">
        <v>9</v>
      </c>
      <c r="D4" s="18">
        <v>0</v>
      </c>
      <c r="E4" s="19">
        <v>68</v>
      </c>
      <c r="F4" s="20">
        <f>($E$4-D4)*100/$E$4</f>
        <v>100</v>
      </c>
      <c r="G4" s="21" t="s">
        <v>9</v>
      </c>
      <c r="H4" s="18">
        <v>0</v>
      </c>
      <c r="I4" s="19">
        <v>7.7</v>
      </c>
      <c r="J4" s="22">
        <f t="shared" ref="J4:J6" si="0">($I$4-H4)*100/$I$4</f>
        <v>100</v>
      </c>
    </row>
    <row r="5" spans="1:10" ht="24.75" customHeight="1" thickBot="1" x14ac:dyDescent="0.3">
      <c r="A5" s="171"/>
      <c r="B5" s="174"/>
      <c r="C5" s="23" t="s">
        <v>10</v>
      </c>
      <c r="D5" s="24">
        <v>0</v>
      </c>
      <c r="E5" s="19">
        <v>68</v>
      </c>
      <c r="F5" s="26">
        <f>($E$4-D5)*100/$E$4</f>
        <v>100</v>
      </c>
      <c r="G5" s="27" t="s">
        <v>10</v>
      </c>
      <c r="H5" s="24">
        <v>0</v>
      </c>
      <c r="I5" s="19">
        <v>7.7</v>
      </c>
      <c r="J5" s="28">
        <f t="shared" si="0"/>
        <v>100</v>
      </c>
    </row>
    <row r="6" spans="1:10" ht="24.75" customHeight="1" thickBot="1" x14ac:dyDescent="0.3">
      <c r="A6" s="172"/>
      <c r="B6" s="175"/>
      <c r="C6" s="29" t="s">
        <v>11</v>
      </c>
      <c r="D6" s="30">
        <v>0</v>
      </c>
      <c r="E6" s="19">
        <v>68</v>
      </c>
      <c r="F6" s="32">
        <f>($E$4-D6)*100/$E$4</f>
        <v>100</v>
      </c>
      <c r="G6" s="33" t="s">
        <v>11</v>
      </c>
      <c r="H6" s="30">
        <v>4.8499999999999996</v>
      </c>
      <c r="I6" s="19">
        <v>7.7</v>
      </c>
      <c r="J6" s="34">
        <f t="shared" si="0"/>
        <v>37.012987012987018</v>
      </c>
    </row>
    <row r="7" spans="1:10" ht="24.75" customHeight="1" thickBot="1" x14ac:dyDescent="0.3">
      <c r="A7" s="190" t="s">
        <v>14</v>
      </c>
      <c r="B7" s="189" t="s">
        <v>15</v>
      </c>
      <c r="C7" s="35" t="s">
        <v>9</v>
      </c>
      <c r="D7" s="36">
        <v>18</v>
      </c>
      <c r="E7" s="37">
        <v>46</v>
      </c>
      <c r="F7" s="38">
        <f>($E$7-D7)*100/$E$7</f>
        <v>60.869565217391305</v>
      </c>
      <c r="G7" s="39" t="s">
        <v>9</v>
      </c>
      <c r="H7" s="40">
        <v>5.53</v>
      </c>
      <c r="I7" s="37">
        <v>6.6</v>
      </c>
      <c r="J7" s="41">
        <f t="shared" ref="J7:J9" si="1">($I$7-H7)*100/$I$7</f>
        <v>16.212121212121204</v>
      </c>
    </row>
    <row r="8" spans="1:10" ht="24.75" customHeight="1" thickBot="1" x14ac:dyDescent="0.3">
      <c r="A8" s="171"/>
      <c r="B8" s="174"/>
      <c r="C8" s="42" t="s">
        <v>10</v>
      </c>
      <c r="D8" s="43">
        <v>12</v>
      </c>
      <c r="E8" s="37">
        <v>46</v>
      </c>
      <c r="F8" s="45">
        <f>($E$7-D8)*100/$E$7</f>
        <v>73.913043478260875</v>
      </c>
      <c r="G8" s="46" t="s">
        <v>10</v>
      </c>
      <c r="H8" s="43">
        <v>5.69</v>
      </c>
      <c r="I8" s="37">
        <v>6.6</v>
      </c>
      <c r="J8" s="47">
        <f t="shared" si="1"/>
        <v>13.787878787878778</v>
      </c>
    </row>
    <row r="9" spans="1:10" ht="24.75" customHeight="1" thickBot="1" x14ac:dyDescent="0.3">
      <c r="A9" s="172"/>
      <c r="B9" s="175"/>
      <c r="C9" s="48" t="s">
        <v>11</v>
      </c>
      <c r="D9" s="49">
        <v>18</v>
      </c>
      <c r="E9" s="37">
        <v>46</v>
      </c>
      <c r="F9" s="52">
        <f>($E$7-D9)*100/$E$7</f>
        <v>60.869565217391305</v>
      </c>
      <c r="G9" s="53" t="s">
        <v>11</v>
      </c>
      <c r="H9" s="49">
        <v>5.32</v>
      </c>
      <c r="I9" s="37">
        <v>6.6</v>
      </c>
      <c r="J9" s="54">
        <f t="shared" si="1"/>
        <v>19.393939393939387</v>
      </c>
    </row>
    <row r="10" spans="1:10" ht="24.75" customHeight="1" thickBot="1" x14ac:dyDescent="0.3">
      <c r="A10" s="186" t="s">
        <v>16</v>
      </c>
      <c r="B10" s="173" t="s">
        <v>17</v>
      </c>
      <c r="C10" s="55" t="s">
        <v>9</v>
      </c>
      <c r="D10" s="56">
        <v>16</v>
      </c>
      <c r="E10" s="57">
        <v>54</v>
      </c>
      <c r="F10" s="58">
        <f>($E$10-D10)*100/$E$10</f>
        <v>70.370370370370367</v>
      </c>
      <c r="G10" s="59" t="s">
        <v>9</v>
      </c>
      <c r="H10" s="56">
        <v>7.03</v>
      </c>
      <c r="I10" s="57">
        <v>7.43</v>
      </c>
      <c r="J10" s="60">
        <f t="shared" ref="J10:J12" si="2">($I$10-H10)*100/$I$10</f>
        <v>5.3835800807536938</v>
      </c>
    </row>
    <row r="11" spans="1:10" ht="24.75" customHeight="1" thickBot="1" x14ac:dyDescent="0.3">
      <c r="A11" s="171"/>
      <c r="B11" s="174"/>
      <c r="C11" s="5" t="s">
        <v>10</v>
      </c>
      <c r="D11" s="6">
        <v>12</v>
      </c>
      <c r="E11" s="57">
        <v>54</v>
      </c>
      <c r="F11" s="8">
        <f>($E$10-D11)*100/$E$10</f>
        <v>77.777777777777771</v>
      </c>
      <c r="G11" s="9" t="s">
        <v>10</v>
      </c>
      <c r="H11" s="6">
        <v>6.08</v>
      </c>
      <c r="I11" s="57">
        <v>7.43</v>
      </c>
      <c r="J11" s="10">
        <f t="shared" si="2"/>
        <v>18.169582772543738</v>
      </c>
    </row>
    <row r="12" spans="1:10" ht="24.75" customHeight="1" thickBot="1" x14ac:dyDescent="0.3">
      <c r="A12" s="172"/>
      <c r="B12" s="175"/>
      <c r="C12" s="61" t="s">
        <v>11</v>
      </c>
      <c r="D12" s="62">
        <v>24</v>
      </c>
      <c r="E12" s="57">
        <v>54</v>
      </c>
      <c r="F12" s="64">
        <f>($E$10-D12)*100/$E$10</f>
        <v>55.555555555555557</v>
      </c>
      <c r="G12" s="65" t="s">
        <v>11</v>
      </c>
      <c r="H12" s="62">
        <v>4.5999999999999996</v>
      </c>
      <c r="I12" s="57">
        <v>7.43</v>
      </c>
      <c r="J12" s="66">
        <f t="shared" si="2"/>
        <v>38.088829071332441</v>
      </c>
    </row>
    <row r="13" spans="1:10" ht="24.75" customHeight="1" x14ac:dyDescent="0.25">
      <c r="A13" s="191" t="s">
        <v>18</v>
      </c>
      <c r="B13" s="173" t="s">
        <v>19</v>
      </c>
      <c r="C13" s="67" t="s">
        <v>9</v>
      </c>
      <c r="D13" s="18">
        <v>0</v>
      </c>
      <c r="E13" s="69">
        <v>64</v>
      </c>
      <c r="F13" s="70">
        <f>($E$13-D13)*100/$E$13</f>
        <v>100</v>
      </c>
      <c r="G13" s="71" t="s">
        <v>9</v>
      </c>
      <c r="H13" s="18">
        <v>6.93</v>
      </c>
      <c r="I13" s="68">
        <v>7.23</v>
      </c>
      <c r="J13" s="72">
        <f t="shared" ref="J13:J15" si="3">($I$13-H13)*100/$I$13</f>
        <v>4.1493775933610051</v>
      </c>
    </row>
    <row r="14" spans="1:10" ht="24.75" customHeight="1" x14ac:dyDescent="0.25">
      <c r="A14" s="171"/>
      <c r="B14" s="174"/>
      <c r="C14" s="23" t="s">
        <v>10</v>
      </c>
      <c r="D14" s="24">
        <v>0</v>
      </c>
      <c r="E14" s="69">
        <v>64</v>
      </c>
      <c r="F14" s="26">
        <f>($E$13-D14)*100/$E$13</f>
        <v>100</v>
      </c>
      <c r="G14" s="27" t="s">
        <v>10</v>
      </c>
      <c r="H14" s="24">
        <v>5.7</v>
      </c>
      <c r="I14" s="68">
        <v>7.23</v>
      </c>
      <c r="J14" s="28">
        <f t="shared" si="3"/>
        <v>21.161825726141082</v>
      </c>
    </row>
    <row r="15" spans="1:10" ht="24.75" customHeight="1" thickBot="1" x14ac:dyDescent="0.3">
      <c r="A15" s="179"/>
      <c r="B15" s="175"/>
      <c r="C15" s="74" t="s">
        <v>11</v>
      </c>
      <c r="D15" s="30">
        <v>0</v>
      </c>
      <c r="E15" s="69">
        <v>64</v>
      </c>
      <c r="F15" s="76">
        <f>($E$13-D15)*100/$E$13</f>
        <v>100</v>
      </c>
      <c r="G15" s="77" t="s">
        <v>11</v>
      </c>
      <c r="H15" s="30">
        <v>6.72</v>
      </c>
      <c r="I15" s="68">
        <v>7.23</v>
      </c>
      <c r="J15" s="78">
        <f t="shared" si="3"/>
        <v>7.0539419087137025</v>
      </c>
    </row>
    <row r="16" spans="1:10" ht="24.75" customHeight="1" thickBot="1" x14ac:dyDescent="0.3">
      <c r="A16" s="190" t="s">
        <v>20</v>
      </c>
      <c r="B16" s="189" t="s">
        <v>21</v>
      </c>
      <c r="C16" s="35" t="s">
        <v>9</v>
      </c>
      <c r="D16" s="40">
        <v>12</v>
      </c>
      <c r="E16" s="37">
        <v>60</v>
      </c>
      <c r="F16" s="38">
        <f>($E$16-D16)*100/$E$16</f>
        <v>80</v>
      </c>
      <c r="G16" s="39" t="s">
        <v>9</v>
      </c>
      <c r="H16" s="40">
        <v>5</v>
      </c>
      <c r="I16" s="37">
        <v>7.04</v>
      </c>
      <c r="J16" s="41">
        <f t="shared" ref="J16:J18" si="4">($I$16-H16)*100/$I$16</f>
        <v>28.977272727272727</v>
      </c>
    </row>
    <row r="17" spans="1:10" ht="24.75" customHeight="1" thickBot="1" x14ac:dyDescent="0.3">
      <c r="A17" s="171"/>
      <c r="B17" s="174"/>
      <c r="C17" s="42" t="s">
        <v>10</v>
      </c>
      <c r="D17" s="43">
        <v>14</v>
      </c>
      <c r="E17" s="37">
        <v>60</v>
      </c>
      <c r="F17" s="45">
        <f>($E$16-D17)*100/$E$16</f>
        <v>76.666666666666671</v>
      </c>
      <c r="G17" s="46" t="s">
        <v>10</v>
      </c>
      <c r="H17" s="43">
        <v>5.58</v>
      </c>
      <c r="I17" s="37">
        <v>7.04</v>
      </c>
      <c r="J17" s="47">
        <f t="shared" si="4"/>
        <v>20.738636363636363</v>
      </c>
    </row>
    <row r="18" spans="1:10" ht="24.75" customHeight="1" thickBot="1" x14ac:dyDescent="0.3">
      <c r="A18" s="172"/>
      <c r="B18" s="175"/>
      <c r="C18" s="48" t="s">
        <v>11</v>
      </c>
      <c r="D18" s="49">
        <v>18</v>
      </c>
      <c r="E18" s="37">
        <v>60</v>
      </c>
      <c r="F18" s="52">
        <f>($E$16-D18)*100/$E$16</f>
        <v>70</v>
      </c>
      <c r="G18" s="53" t="s">
        <v>11</v>
      </c>
      <c r="H18" s="49">
        <v>5.2</v>
      </c>
      <c r="I18" s="37">
        <v>7.04</v>
      </c>
      <c r="J18" s="54">
        <f t="shared" si="4"/>
        <v>26.136363636363637</v>
      </c>
    </row>
    <row r="19" spans="1:10" ht="24.75" customHeight="1" thickBot="1" x14ac:dyDescent="0.3">
      <c r="A19" s="190" t="s">
        <v>22</v>
      </c>
      <c r="B19" s="189" t="s">
        <v>23</v>
      </c>
      <c r="C19" s="35" t="s">
        <v>9</v>
      </c>
      <c r="D19" s="40">
        <v>0</v>
      </c>
      <c r="E19" s="37">
        <v>60</v>
      </c>
      <c r="F19" s="38">
        <f>($E$19-D19)*100/$E$19</f>
        <v>100</v>
      </c>
      <c r="G19" s="39" t="s">
        <v>9</v>
      </c>
      <c r="H19" s="40">
        <v>6.03</v>
      </c>
      <c r="I19" s="37">
        <v>7.63</v>
      </c>
      <c r="J19" s="41">
        <f t="shared" ref="J19:J21" si="5">($I$19-H19)*100/$I$19</f>
        <v>20.969855832241151</v>
      </c>
    </row>
    <row r="20" spans="1:10" ht="24.75" customHeight="1" thickBot="1" x14ac:dyDescent="0.3">
      <c r="A20" s="171"/>
      <c r="B20" s="174"/>
      <c r="C20" s="42" t="s">
        <v>10</v>
      </c>
      <c r="D20" s="43">
        <v>0</v>
      </c>
      <c r="E20" s="37">
        <v>60</v>
      </c>
      <c r="F20" s="45">
        <f>($E$19-D20)*100/$E$19</f>
        <v>100</v>
      </c>
      <c r="G20" s="46" t="s">
        <v>10</v>
      </c>
      <c r="H20" s="43">
        <v>5.4</v>
      </c>
      <c r="I20" s="37">
        <v>7.63</v>
      </c>
      <c r="J20" s="47">
        <f t="shared" si="5"/>
        <v>29.226736566186101</v>
      </c>
    </row>
    <row r="21" spans="1:10" ht="24.75" customHeight="1" thickBot="1" x14ac:dyDescent="0.3">
      <c r="A21" s="172"/>
      <c r="B21" s="175"/>
      <c r="C21" s="48" t="s">
        <v>11</v>
      </c>
      <c r="D21" s="80">
        <v>0</v>
      </c>
      <c r="E21" s="37">
        <v>60</v>
      </c>
      <c r="F21" s="52">
        <f>($E$19-D21)*100/$E$19</f>
        <v>100</v>
      </c>
      <c r="G21" s="53" t="s">
        <v>11</v>
      </c>
      <c r="H21" s="49">
        <v>6.82</v>
      </c>
      <c r="I21" s="37">
        <v>7.63</v>
      </c>
      <c r="J21" s="54">
        <f t="shared" si="5"/>
        <v>10.615989515072078</v>
      </c>
    </row>
    <row r="22" spans="1:10" ht="24.75" customHeight="1" thickBot="1" x14ac:dyDescent="0.3">
      <c r="A22" s="188" t="s">
        <v>24</v>
      </c>
      <c r="B22" s="189" t="s">
        <v>25</v>
      </c>
      <c r="C22" s="35" t="s">
        <v>9</v>
      </c>
      <c r="D22" s="40">
        <v>0</v>
      </c>
      <c r="E22" s="37">
        <v>58</v>
      </c>
      <c r="F22" s="38">
        <f>($E$22-D22)*100/$E$22</f>
        <v>100</v>
      </c>
      <c r="G22" s="39" t="s">
        <v>9</v>
      </c>
      <c r="H22" s="40">
        <v>5.23</v>
      </c>
      <c r="I22" s="37">
        <v>6.85</v>
      </c>
      <c r="J22" s="41">
        <f t="shared" ref="J22:J24" si="6">($I$22-H22)*100/$I$22</f>
        <v>23.649635036496338</v>
      </c>
    </row>
    <row r="23" spans="1:10" ht="24.75" customHeight="1" thickBot="1" x14ac:dyDescent="0.3">
      <c r="A23" s="171"/>
      <c r="B23" s="174"/>
      <c r="C23" s="42" t="s">
        <v>10</v>
      </c>
      <c r="D23" s="43">
        <v>14</v>
      </c>
      <c r="E23" s="37">
        <v>58</v>
      </c>
      <c r="F23" s="45">
        <f>($E$22-D23)*100/$E$22</f>
        <v>75.862068965517238</v>
      </c>
      <c r="G23" s="46" t="s">
        <v>10</v>
      </c>
      <c r="H23" s="43">
        <v>5.92</v>
      </c>
      <c r="I23" s="37">
        <v>6.85</v>
      </c>
      <c r="J23" s="47">
        <f t="shared" si="6"/>
        <v>13.576642335766421</v>
      </c>
    </row>
    <row r="24" spans="1:10" ht="24.75" customHeight="1" thickBot="1" x14ac:dyDescent="0.3">
      <c r="A24" s="172"/>
      <c r="B24" s="175"/>
      <c r="C24" s="48" t="s">
        <v>11</v>
      </c>
      <c r="D24" s="49">
        <v>20</v>
      </c>
      <c r="E24" s="37">
        <v>58</v>
      </c>
      <c r="F24" s="52">
        <f>($E$22-D24)*100/$E$22</f>
        <v>65.517241379310349</v>
      </c>
      <c r="G24" s="53" t="s">
        <v>11</v>
      </c>
      <c r="H24" s="49">
        <v>5.95</v>
      </c>
      <c r="I24" s="37">
        <v>6.85</v>
      </c>
      <c r="J24" s="54">
        <f t="shared" si="6"/>
        <v>13.138686131386853</v>
      </c>
    </row>
    <row r="25" spans="1:10" ht="24.75" customHeight="1" x14ac:dyDescent="0.25">
      <c r="A25" s="184" t="s">
        <v>26</v>
      </c>
      <c r="B25" s="180" t="s">
        <v>27</v>
      </c>
      <c r="C25" s="67" t="s">
        <v>9</v>
      </c>
      <c r="D25" s="73">
        <v>14</v>
      </c>
      <c r="E25" s="69">
        <v>75</v>
      </c>
      <c r="F25" s="70">
        <f>($E$25-D25)*100/$E$25</f>
        <v>81.333333333333329</v>
      </c>
      <c r="G25" s="71" t="s">
        <v>9</v>
      </c>
      <c r="H25" s="73">
        <v>5.93</v>
      </c>
      <c r="I25" s="69">
        <v>7.68</v>
      </c>
      <c r="J25" s="72">
        <f t="shared" ref="J25:J27" si="7">($I$25-H25)*100/$I$25</f>
        <v>22.786458333333336</v>
      </c>
    </row>
    <row r="26" spans="1:10" ht="24.75" customHeight="1" x14ac:dyDescent="0.25">
      <c r="A26" s="171"/>
      <c r="B26" s="174"/>
      <c r="C26" s="23" t="s">
        <v>10</v>
      </c>
      <c r="D26" s="24">
        <v>26</v>
      </c>
      <c r="E26" s="69">
        <v>75</v>
      </c>
      <c r="F26" s="26">
        <f>($E$25-D26)*100/$E$25</f>
        <v>65.333333333333329</v>
      </c>
      <c r="G26" s="27" t="s">
        <v>10</v>
      </c>
      <c r="H26" s="24">
        <v>6.69</v>
      </c>
      <c r="I26" s="25"/>
      <c r="J26" s="28">
        <f t="shared" si="7"/>
        <v>12.890624999999991</v>
      </c>
    </row>
    <row r="27" spans="1:10" ht="24.75" customHeight="1" thickBot="1" x14ac:dyDescent="0.3">
      <c r="A27" s="179"/>
      <c r="B27" s="181"/>
      <c r="C27" s="74" t="s">
        <v>11</v>
      </c>
      <c r="D27" s="79">
        <v>16</v>
      </c>
      <c r="E27" s="69">
        <v>75</v>
      </c>
      <c r="F27" s="76">
        <f>($E$25-D27)*100/$E$25</f>
        <v>78.666666666666671</v>
      </c>
      <c r="G27" s="77" t="s">
        <v>11</v>
      </c>
      <c r="H27" s="79">
        <v>6.29</v>
      </c>
      <c r="I27" s="75"/>
      <c r="J27" s="78">
        <f t="shared" si="7"/>
        <v>18.098958333333329</v>
      </c>
    </row>
    <row r="28" spans="1:10" ht="24.75" customHeight="1" thickBot="1" x14ac:dyDescent="0.3">
      <c r="A28" s="190" t="s">
        <v>28</v>
      </c>
      <c r="B28" s="189" t="s">
        <v>29</v>
      </c>
      <c r="C28" s="35" t="s">
        <v>9</v>
      </c>
      <c r="D28" s="36">
        <v>14</v>
      </c>
      <c r="E28" s="37">
        <v>46</v>
      </c>
      <c r="F28" s="38">
        <f>($E$28-D28)*100/$E$28</f>
        <v>69.565217391304344</v>
      </c>
      <c r="G28" s="39" t="s">
        <v>9</v>
      </c>
      <c r="H28" s="40">
        <v>4.8499999999999996</v>
      </c>
      <c r="I28" s="37">
        <v>6.9</v>
      </c>
      <c r="J28" s="41">
        <f t="shared" ref="J28:J30" si="8">($I$28-H28)*100/$I$28</f>
        <v>29.710144927536238</v>
      </c>
    </row>
    <row r="29" spans="1:10" ht="24.75" customHeight="1" thickBot="1" x14ac:dyDescent="0.3">
      <c r="A29" s="171"/>
      <c r="B29" s="174"/>
      <c r="C29" s="42" t="s">
        <v>10</v>
      </c>
      <c r="D29" s="165">
        <v>14</v>
      </c>
      <c r="E29" s="37">
        <v>46</v>
      </c>
      <c r="F29" s="45">
        <f>($E$28-D29)*100/$E$28</f>
        <v>69.565217391304344</v>
      </c>
      <c r="G29" s="46" t="s">
        <v>10</v>
      </c>
      <c r="H29" s="43">
        <v>5.88</v>
      </c>
      <c r="I29" s="44"/>
      <c r="J29" s="47">
        <f t="shared" si="8"/>
        <v>14.782608695652179</v>
      </c>
    </row>
    <row r="30" spans="1:10" ht="24.75" customHeight="1" thickBot="1" x14ac:dyDescent="0.3">
      <c r="A30" s="172"/>
      <c r="B30" s="175"/>
      <c r="C30" s="48" t="s">
        <v>11</v>
      </c>
      <c r="D30" s="80">
        <v>22</v>
      </c>
      <c r="E30" s="37">
        <v>46</v>
      </c>
      <c r="F30" s="52">
        <f>($E$28-D30)*100/$E$28</f>
        <v>52.173913043478258</v>
      </c>
      <c r="G30" s="53" t="s">
        <v>11</v>
      </c>
      <c r="H30" s="49">
        <v>7</v>
      </c>
      <c r="I30" s="51"/>
      <c r="J30" s="54">
        <f t="shared" si="8"/>
        <v>-1.4492753623188352</v>
      </c>
    </row>
    <row r="31" spans="1:10" ht="24.75" customHeight="1" thickBot="1" x14ac:dyDescent="0.3">
      <c r="A31" s="188" t="s">
        <v>30</v>
      </c>
      <c r="B31" s="189" t="s">
        <v>31</v>
      </c>
      <c r="C31" s="35" t="s">
        <v>9</v>
      </c>
      <c r="D31" s="36">
        <v>16</v>
      </c>
      <c r="E31" s="37">
        <v>46</v>
      </c>
      <c r="F31" s="38">
        <f>($E$31-D31)*100/$E$31</f>
        <v>65.217391304347828</v>
      </c>
      <c r="G31" s="39" t="s">
        <v>9</v>
      </c>
      <c r="H31" s="40">
        <v>7.32</v>
      </c>
      <c r="I31" s="37">
        <v>7.68</v>
      </c>
      <c r="J31" s="41">
        <f t="shared" ref="J31:J33" si="9">($I$31-H31)*100/$I$31</f>
        <v>4.6874999999999929</v>
      </c>
    </row>
    <row r="32" spans="1:10" ht="24.75" customHeight="1" thickBot="1" x14ac:dyDescent="0.3">
      <c r="A32" s="171"/>
      <c r="B32" s="174"/>
      <c r="C32" s="42" t="s">
        <v>10</v>
      </c>
      <c r="D32" s="165">
        <v>16</v>
      </c>
      <c r="E32" s="37">
        <v>46</v>
      </c>
      <c r="F32" s="45">
        <f>($E$31-D32)*100/$E$31</f>
        <v>65.217391304347828</v>
      </c>
      <c r="G32" s="46" t="s">
        <v>10</v>
      </c>
      <c r="H32" s="43">
        <v>7.56</v>
      </c>
      <c r="I32" s="44"/>
      <c r="J32" s="47">
        <f t="shared" si="9"/>
        <v>1.5625000000000016</v>
      </c>
    </row>
    <row r="33" spans="1:10" ht="24.75" customHeight="1" thickBot="1" x14ac:dyDescent="0.3">
      <c r="A33" s="172"/>
      <c r="B33" s="175"/>
      <c r="C33" s="48" t="s">
        <v>11</v>
      </c>
      <c r="D33" s="80">
        <v>20</v>
      </c>
      <c r="E33" s="37">
        <v>46</v>
      </c>
      <c r="F33" s="52">
        <f>($E$31-D33)*100/$E$31</f>
        <v>56.521739130434781</v>
      </c>
      <c r="G33" s="53" t="s">
        <v>11</v>
      </c>
      <c r="H33" s="49">
        <v>7.56</v>
      </c>
      <c r="I33" s="51"/>
      <c r="J33" s="54">
        <f t="shared" si="9"/>
        <v>1.5625000000000016</v>
      </c>
    </row>
    <row r="34" spans="1:10" ht="24.75" customHeight="1" thickBot="1" x14ac:dyDescent="0.3">
      <c r="A34" s="190" t="s">
        <v>32</v>
      </c>
      <c r="B34" s="189" t="s">
        <v>33</v>
      </c>
      <c r="C34" s="35" t="s">
        <v>9</v>
      </c>
      <c r="D34" s="36">
        <v>0</v>
      </c>
      <c r="E34" s="37">
        <v>58</v>
      </c>
      <c r="F34" s="38">
        <f>($E$34-D34)*100/$E$34</f>
        <v>100</v>
      </c>
      <c r="G34" s="39" t="s">
        <v>9</v>
      </c>
      <c r="H34" s="40">
        <v>6.32</v>
      </c>
      <c r="I34" s="37">
        <v>7.23</v>
      </c>
      <c r="J34" s="41">
        <f t="shared" ref="J34:J36" si="10">($I$34-H34)*100/$I$34</f>
        <v>12.586445366528356</v>
      </c>
    </row>
    <row r="35" spans="1:10" ht="24.75" customHeight="1" thickBot="1" x14ac:dyDescent="0.3">
      <c r="A35" s="171"/>
      <c r="B35" s="174"/>
      <c r="C35" s="42" t="s">
        <v>10</v>
      </c>
      <c r="D35" s="165">
        <v>12</v>
      </c>
      <c r="E35" s="37">
        <v>58</v>
      </c>
      <c r="F35" s="45">
        <f>($E$34-D35)*100/$E$34</f>
        <v>79.310344827586206</v>
      </c>
      <c r="G35" s="46" t="s">
        <v>10</v>
      </c>
      <c r="H35" s="43">
        <v>6.8</v>
      </c>
      <c r="I35" s="44"/>
      <c r="J35" s="47">
        <f t="shared" si="10"/>
        <v>5.947441217150768</v>
      </c>
    </row>
    <row r="36" spans="1:10" ht="24.75" customHeight="1" thickBot="1" x14ac:dyDescent="0.3">
      <c r="A36" s="172"/>
      <c r="B36" s="175"/>
      <c r="C36" s="48" t="s">
        <v>11</v>
      </c>
      <c r="D36" s="166">
        <v>20</v>
      </c>
      <c r="E36" s="37">
        <v>58</v>
      </c>
      <c r="F36" s="83">
        <f>($E$34-D36)*100/$E$34</f>
        <v>65.517241379310349</v>
      </c>
      <c r="G36" s="84" t="s">
        <v>11</v>
      </c>
      <c r="H36" s="81">
        <v>6.16</v>
      </c>
      <c r="I36" s="82"/>
      <c r="J36" s="85">
        <f t="shared" si="10"/>
        <v>14.799446749654221</v>
      </c>
    </row>
    <row r="37" spans="1:10" ht="24.75" customHeight="1" thickBot="1" x14ac:dyDescent="0.3">
      <c r="A37" s="184" t="s">
        <v>34</v>
      </c>
      <c r="B37" s="180" t="s">
        <v>35</v>
      </c>
      <c r="C37" s="23" t="s">
        <v>9</v>
      </c>
      <c r="D37" s="167">
        <v>0</v>
      </c>
      <c r="E37" s="19">
        <v>57</v>
      </c>
      <c r="F37" s="20">
        <f>($E$37-D37)*100/$E$37</f>
        <v>100</v>
      </c>
      <c r="G37" s="86" t="s">
        <v>9</v>
      </c>
      <c r="H37" s="18">
        <v>5.28</v>
      </c>
      <c r="I37" s="19">
        <v>7.54</v>
      </c>
      <c r="J37" s="22">
        <f t="shared" ref="J37:J39" si="11">($I$37-H37)*100/$I$37</f>
        <v>29.973474801061005</v>
      </c>
    </row>
    <row r="38" spans="1:10" ht="24.75" customHeight="1" thickBot="1" x14ac:dyDescent="0.3">
      <c r="A38" s="171"/>
      <c r="B38" s="174"/>
      <c r="C38" s="23" t="s">
        <v>10</v>
      </c>
      <c r="D38" s="168">
        <v>0</v>
      </c>
      <c r="E38" s="19">
        <v>57</v>
      </c>
      <c r="F38" s="26">
        <f>($E$37-D38)*100/$E$37</f>
        <v>100</v>
      </c>
      <c r="G38" s="87" t="s">
        <v>10</v>
      </c>
      <c r="H38" s="24">
        <v>4.95</v>
      </c>
      <c r="I38" s="25"/>
      <c r="J38" s="28">
        <f t="shared" si="11"/>
        <v>34.350132625994696</v>
      </c>
    </row>
    <row r="39" spans="1:10" ht="24.75" customHeight="1" thickBot="1" x14ac:dyDescent="0.3">
      <c r="A39" s="179"/>
      <c r="B39" s="181"/>
      <c r="C39" s="74" t="s">
        <v>11</v>
      </c>
      <c r="D39" s="169">
        <v>0</v>
      </c>
      <c r="E39" s="19">
        <v>57</v>
      </c>
      <c r="F39" s="32">
        <f>($E$37-D39)*100/$E$37</f>
        <v>100</v>
      </c>
      <c r="G39" s="88" t="s">
        <v>11</v>
      </c>
      <c r="H39" s="30">
        <v>4.5999999999999996</v>
      </c>
      <c r="I39" s="31"/>
      <c r="J39" s="34">
        <f t="shared" si="11"/>
        <v>38.992042440318308</v>
      </c>
    </row>
    <row r="40" spans="1:10" ht="24.75" customHeight="1" x14ac:dyDescent="0.25">
      <c r="A40" s="188" t="s">
        <v>36</v>
      </c>
      <c r="B40" s="189" t="s">
        <v>37</v>
      </c>
      <c r="C40" s="35" t="s">
        <v>9</v>
      </c>
      <c r="D40" s="89">
        <v>14</v>
      </c>
      <c r="E40" s="90">
        <v>50</v>
      </c>
      <c r="F40" s="91">
        <f>($E$40-D40)*100/$E$40</f>
        <v>72</v>
      </c>
      <c r="G40" s="92" t="s">
        <v>9</v>
      </c>
      <c r="H40" s="93">
        <v>5.05</v>
      </c>
      <c r="I40" s="90">
        <v>7.87</v>
      </c>
      <c r="J40" s="94">
        <f t="shared" ref="J40:J42" si="12">($I$40-H40)*100/$I$40</f>
        <v>35.832274459974585</v>
      </c>
    </row>
    <row r="41" spans="1:10" ht="24.75" customHeight="1" x14ac:dyDescent="0.25">
      <c r="A41" s="171"/>
      <c r="B41" s="174"/>
      <c r="C41" s="42" t="s">
        <v>10</v>
      </c>
      <c r="D41" s="43">
        <v>16</v>
      </c>
      <c r="E41" s="90">
        <v>50</v>
      </c>
      <c r="F41" s="45">
        <f>($E$40-D41)*100/$E$40</f>
        <v>68</v>
      </c>
      <c r="G41" s="46" t="s">
        <v>10</v>
      </c>
      <c r="H41" s="43">
        <v>6.65</v>
      </c>
      <c r="I41" s="44"/>
      <c r="J41" s="47">
        <f t="shared" si="12"/>
        <v>15.501905972045739</v>
      </c>
    </row>
    <row r="42" spans="1:10" ht="24.75" customHeight="1" thickBot="1" x14ac:dyDescent="0.3">
      <c r="A42" s="172"/>
      <c r="B42" s="175"/>
      <c r="C42" s="48" t="s">
        <v>11</v>
      </c>
      <c r="D42" s="49">
        <v>14</v>
      </c>
      <c r="E42" s="90">
        <v>50</v>
      </c>
      <c r="F42" s="52">
        <f>($E$40-D42)*100/$E$40</f>
        <v>72</v>
      </c>
      <c r="G42" s="53" t="s">
        <v>11</v>
      </c>
      <c r="H42" s="49">
        <v>7.3</v>
      </c>
      <c r="I42" s="51"/>
      <c r="J42" s="54">
        <f t="shared" si="12"/>
        <v>7.2426937738246542</v>
      </c>
    </row>
    <row r="43" spans="1:10" ht="24.75" customHeight="1" thickBot="1" x14ac:dyDescent="0.3">
      <c r="A43" s="188" t="s">
        <v>38</v>
      </c>
      <c r="B43" s="189" t="s">
        <v>39</v>
      </c>
      <c r="C43" s="35" t="s">
        <v>9</v>
      </c>
      <c r="D43" s="40">
        <v>0</v>
      </c>
      <c r="E43" s="37">
        <v>50</v>
      </c>
      <c r="F43" s="38">
        <f>($E$43-D43)*100/$E$43</f>
        <v>100</v>
      </c>
      <c r="G43" s="39" t="s">
        <v>9</v>
      </c>
      <c r="H43" s="40">
        <v>4</v>
      </c>
      <c r="I43" s="37">
        <v>7.54</v>
      </c>
      <c r="J43" s="41">
        <f t="shared" ref="J43:J45" si="13">($I$43-H43)*100/$I$43</f>
        <v>46.949602122015918</v>
      </c>
    </row>
    <row r="44" spans="1:10" ht="24.75" customHeight="1" thickBot="1" x14ac:dyDescent="0.3">
      <c r="A44" s="171"/>
      <c r="B44" s="174"/>
      <c r="C44" s="42" t="s">
        <v>10</v>
      </c>
      <c r="D44" s="43">
        <v>0</v>
      </c>
      <c r="E44" s="37">
        <v>50</v>
      </c>
      <c r="F44" s="45">
        <f>($E$43-D44)*100/$E$43</f>
        <v>100</v>
      </c>
      <c r="G44" s="46" t="s">
        <v>10</v>
      </c>
      <c r="H44" s="43">
        <v>5.23</v>
      </c>
      <c r="I44" s="44"/>
      <c r="J44" s="47">
        <f t="shared" si="13"/>
        <v>30.636604774535805</v>
      </c>
    </row>
    <row r="45" spans="1:10" ht="24.75" customHeight="1" thickBot="1" x14ac:dyDescent="0.3">
      <c r="A45" s="172"/>
      <c r="B45" s="175"/>
      <c r="C45" s="48" t="s">
        <v>11</v>
      </c>
      <c r="D45" s="80">
        <v>0</v>
      </c>
      <c r="E45" s="37">
        <v>50</v>
      </c>
      <c r="F45" s="52">
        <f>($E$43-D45)*100/$E$43</f>
        <v>100</v>
      </c>
      <c r="G45" s="53" t="s">
        <v>11</v>
      </c>
      <c r="H45" s="50">
        <v>5.2</v>
      </c>
      <c r="I45" s="51"/>
      <c r="J45" s="54">
        <f t="shared" si="13"/>
        <v>31.03448275862069</v>
      </c>
    </row>
    <row r="46" spans="1:10" ht="24.75" customHeight="1" thickBot="1" x14ac:dyDescent="0.3">
      <c r="A46" s="186" t="s">
        <v>40</v>
      </c>
      <c r="B46" s="173" t="s">
        <v>41</v>
      </c>
      <c r="C46" s="55" t="s">
        <v>9</v>
      </c>
      <c r="D46" s="56">
        <v>0</v>
      </c>
      <c r="E46" s="57">
        <v>68</v>
      </c>
      <c r="F46" s="58">
        <f>($E$46-D46)*100/$E$46</f>
        <v>100</v>
      </c>
      <c r="G46" s="59" t="s">
        <v>9</v>
      </c>
      <c r="H46" s="56">
        <v>5.97</v>
      </c>
      <c r="I46" s="57">
        <v>7.97</v>
      </c>
      <c r="J46" s="60">
        <f t="shared" ref="J46:J48" si="14">($I$46-H46)*100/$I$46</f>
        <v>25.094102885821833</v>
      </c>
    </row>
    <row r="47" spans="1:10" ht="24.75" customHeight="1" thickBot="1" x14ac:dyDescent="0.3">
      <c r="A47" s="171"/>
      <c r="B47" s="174"/>
      <c r="C47" s="5" t="s">
        <v>10</v>
      </c>
      <c r="D47" s="6">
        <v>0</v>
      </c>
      <c r="E47" s="57">
        <v>68</v>
      </c>
      <c r="F47" s="8">
        <f>($E$46-D47)*100/$E$46</f>
        <v>100</v>
      </c>
      <c r="G47" s="9" t="s">
        <v>10</v>
      </c>
      <c r="H47" s="6">
        <v>5.95</v>
      </c>
      <c r="I47" s="7"/>
      <c r="J47" s="10">
        <f t="shared" si="14"/>
        <v>25.345043914680044</v>
      </c>
    </row>
    <row r="48" spans="1:10" ht="24.75" customHeight="1" thickBot="1" x14ac:dyDescent="0.3">
      <c r="A48" s="172"/>
      <c r="B48" s="175"/>
      <c r="C48" s="61" t="s">
        <v>11</v>
      </c>
      <c r="D48" s="62">
        <v>14</v>
      </c>
      <c r="E48" s="57">
        <v>68</v>
      </c>
      <c r="F48" s="64">
        <f>($E$46-D48)*100/$E$46</f>
        <v>79.411764705882348</v>
      </c>
      <c r="G48" s="65" t="s">
        <v>11</v>
      </c>
      <c r="H48" s="62">
        <v>6.07</v>
      </c>
      <c r="I48" s="63"/>
      <c r="J48" s="66">
        <f t="shared" si="14"/>
        <v>23.839397741530735</v>
      </c>
    </row>
    <row r="49" spans="1:10" ht="24.75" customHeight="1" thickBot="1" x14ac:dyDescent="0.3">
      <c r="A49" s="186" t="s">
        <v>42</v>
      </c>
      <c r="B49" s="173" t="s">
        <v>43</v>
      </c>
      <c r="C49" s="55" t="s">
        <v>9</v>
      </c>
      <c r="D49" s="56">
        <v>0</v>
      </c>
      <c r="E49" s="57">
        <v>65</v>
      </c>
      <c r="F49" s="58">
        <f>($E$49-D49)*100/$E$49</f>
        <v>100</v>
      </c>
      <c r="G49" s="59" t="s">
        <v>9</v>
      </c>
      <c r="H49" s="56">
        <v>5.45</v>
      </c>
      <c r="I49" s="57">
        <v>7.94</v>
      </c>
      <c r="J49" s="60">
        <f t="shared" ref="J49:J51" si="15">($I$49-H49)*100/$I$49</f>
        <v>31.360201511335013</v>
      </c>
    </row>
    <row r="50" spans="1:10" ht="24.75" customHeight="1" thickBot="1" x14ac:dyDescent="0.3">
      <c r="A50" s="171"/>
      <c r="B50" s="174"/>
      <c r="C50" s="5" t="s">
        <v>10</v>
      </c>
      <c r="D50" s="6">
        <v>0</v>
      </c>
      <c r="E50" s="57">
        <v>65</v>
      </c>
      <c r="F50" s="8">
        <f>($E$49-D50)*100/$E$49</f>
        <v>100</v>
      </c>
      <c r="G50" s="9" t="s">
        <v>10</v>
      </c>
      <c r="H50" s="6">
        <v>6.34</v>
      </c>
      <c r="I50" s="7"/>
      <c r="J50" s="10">
        <f t="shared" si="15"/>
        <v>20.151133501259451</v>
      </c>
    </row>
    <row r="51" spans="1:10" ht="24.75" customHeight="1" thickBot="1" x14ac:dyDescent="0.3">
      <c r="A51" s="172"/>
      <c r="B51" s="175"/>
      <c r="C51" s="61" t="s">
        <v>11</v>
      </c>
      <c r="D51" s="62">
        <v>14</v>
      </c>
      <c r="E51" s="57">
        <v>65</v>
      </c>
      <c r="F51" s="64">
        <f>($E$49-D51)*100/$E$49</f>
        <v>78.461538461538467</v>
      </c>
      <c r="G51" s="65" t="s">
        <v>11</v>
      </c>
      <c r="H51" s="62">
        <v>6.15</v>
      </c>
      <c r="I51" s="63"/>
      <c r="J51" s="66">
        <f t="shared" si="15"/>
        <v>22.544080604534003</v>
      </c>
    </row>
    <row r="52" spans="1:10" ht="24.75" customHeight="1" thickBot="1" x14ac:dyDescent="0.3">
      <c r="A52" s="186" t="s">
        <v>44</v>
      </c>
      <c r="B52" s="173" t="s">
        <v>45</v>
      </c>
      <c r="C52" s="55" t="s">
        <v>9</v>
      </c>
      <c r="D52" s="56">
        <v>0</v>
      </c>
      <c r="E52" s="57">
        <v>54</v>
      </c>
      <c r="F52" s="58">
        <f>($E$52-D52)*100/$E$52</f>
        <v>100</v>
      </c>
      <c r="G52" s="59" t="s">
        <v>9</v>
      </c>
      <c r="H52" s="56">
        <v>5.85</v>
      </c>
      <c r="I52" s="57">
        <v>7.66</v>
      </c>
      <c r="J52" s="60">
        <f t="shared" ref="J52:J54" si="16">($I$52-H52)*100/$I$52</f>
        <v>23.629242819843348</v>
      </c>
    </row>
    <row r="53" spans="1:10" ht="24.75" customHeight="1" thickBot="1" x14ac:dyDescent="0.3">
      <c r="A53" s="171"/>
      <c r="B53" s="174"/>
      <c r="C53" s="5" t="s">
        <v>10</v>
      </c>
      <c r="D53" s="6">
        <v>0</v>
      </c>
      <c r="E53" s="57">
        <v>54</v>
      </c>
      <c r="F53" s="8">
        <f>($E$52-D53)*100/$E$52</f>
        <v>100</v>
      </c>
      <c r="G53" s="9" t="s">
        <v>10</v>
      </c>
      <c r="H53" s="6">
        <v>6.07</v>
      </c>
      <c r="I53" s="7"/>
      <c r="J53" s="10">
        <f t="shared" si="16"/>
        <v>20.757180156657963</v>
      </c>
    </row>
    <row r="54" spans="1:10" ht="24.75" customHeight="1" thickBot="1" x14ac:dyDescent="0.3">
      <c r="A54" s="172"/>
      <c r="B54" s="175"/>
      <c r="C54" s="61" t="s">
        <v>11</v>
      </c>
      <c r="D54" s="62">
        <v>14</v>
      </c>
      <c r="E54" s="57">
        <v>54</v>
      </c>
      <c r="F54" s="64">
        <f>($E$52-D54)*100/$E$52</f>
        <v>74.074074074074076</v>
      </c>
      <c r="G54" s="65" t="s">
        <v>11</v>
      </c>
      <c r="H54" s="62">
        <v>6.44</v>
      </c>
      <c r="I54" s="63"/>
      <c r="J54" s="66">
        <f t="shared" si="16"/>
        <v>15.926892950391641</v>
      </c>
    </row>
    <row r="55" spans="1:10" ht="24.75" customHeight="1" thickBot="1" x14ac:dyDescent="0.3">
      <c r="A55" s="187" t="s">
        <v>46</v>
      </c>
      <c r="B55" s="173" t="s">
        <v>47</v>
      </c>
      <c r="C55" s="95" t="s">
        <v>9</v>
      </c>
      <c r="D55" s="96">
        <v>0</v>
      </c>
      <c r="E55" s="57">
        <v>30</v>
      </c>
      <c r="F55" s="97">
        <f>($E$55-D55)*100/$E$55</f>
        <v>100</v>
      </c>
      <c r="G55" s="98" t="s">
        <v>9</v>
      </c>
      <c r="H55" s="96">
        <v>0</v>
      </c>
      <c r="I55" s="99">
        <v>6.23</v>
      </c>
      <c r="J55" s="100">
        <f t="shared" ref="J55:J57" si="17">($I$55-H55)*100/$I$55</f>
        <v>100</v>
      </c>
    </row>
    <row r="56" spans="1:10" ht="24.75" customHeight="1" thickBot="1" x14ac:dyDescent="0.3">
      <c r="A56" s="171"/>
      <c r="B56" s="174"/>
      <c r="C56" s="5" t="s">
        <v>10</v>
      </c>
      <c r="D56" s="6">
        <v>0</v>
      </c>
      <c r="E56" s="57">
        <v>30</v>
      </c>
      <c r="F56" s="8">
        <f>($E$55-D56)*100/$E$55</f>
        <v>100</v>
      </c>
      <c r="G56" s="9" t="s">
        <v>10</v>
      </c>
      <c r="H56" s="6">
        <v>0</v>
      </c>
      <c r="I56" s="7"/>
      <c r="J56" s="10">
        <f t="shared" si="17"/>
        <v>100</v>
      </c>
    </row>
    <row r="57" spans="1:10" ht="24.75" customHeight="1" thickBot="1" x14ac:dyDescent="0.3">
      <c r="A57" s="179"/>
      <c r="B57" s="175"/>
      <c r="C57" s="11" t="s">
        <v>11</v>
      </c>
      <c r="D57" s="12">
        <v>0</v>
      </c>
      <c r="E57" s="57">
        <v>30</v>
      </c>
      <c r="F57" s="14">
        <f>($E$55-D57)*100/$E$55</f>
        <v>100</v>
      </c>
      <c r="G57" s="15" t="s">
        <v>11</v>
      </c>
      <c r="H57" s="12">
        <v>4</v>
      </c>
      <c r="I57" s="13"/>
      <c r="J57" s="16">
        <f t="shared" si="17"/>
        <v>35.794542536115578</v>
      </c>
    </row>
    <row r="58" spans="1:10" ht="24.75" customHeight="1" thickBot="1" x14ac:dyDescent="0.3">
      <c r="A58" s="185" t="s">
        <v>48</v>
      </c>
      <c r="B58" s="173" t="s">
        <v>49</v>
      </c>
      <c r="C58" s="55" t="s">
        <v>9</v>
      </c>
      <c r="D58" s="56">
        <v>0</v>
      </c>
      <c r="E58" s="57">
        <v>26</v>
      </c>
      <c r="F58" s="58">
        <f>($E$58-D58)*100/$E$58</f>
        <v>100</v>
      </c>
      <c r="G58" s="59" t="s">
        <v>9</v>
      </c>
      <c r="H58" s="56">
        <v>4</v>
      </c>
      <c r="I58" s="57">
        <v>6.18</v>
      </c>
      <c r="J58" s="60">
        <f t="shared" ref="J58:J60" si="18">($I$58-H58)*100/$I$58</f>
        <v>35.275080906148865</v>
      </c>
    </row>
    <row r="59" spans="1:10" ht="24.75" customHeight="1" thickBot="1" x14ac:dyDescent="0.3">
      <c r="A59" s="171"/>
      <c r="B59" s="174"/>
      <c r="C59" s="5" t="s">
        <v>10</v>
      </c>
      <c r="D59" s="6">
        <v>0</v>
      </c>
      <c r="E59" s="57">
        <v>26</v>
      </c>
      <c r="F59" s="8">
        <f>($E$58-D59)*100/$E$58</f>
        <v>100</v>
      </c>
      <c r="G59" s="9" t="s">
        <v>10</v>
      </c>
      <c r="H59" s="6">
        <v>0</v>
      </c>
      <c r="I59" s="7"/>
      <c r="J59" s="10">
        <f t="shared" si="18"/>
        <v>100</v>
      </c>
    </row>
    <row r="60" spans="1:10" ht="24.75" customHeight="1" thickBot="1" x14ac:dyDescent="0.3">
      <c r="A60" s="172"/>
      <c r="B60" s="175"/>
      <c r="C60" s="61" t="s">
        <v>11</v>
      </c>
      <c r="D60" s="62">
        <v>0</v>
      </c>
      <c r="E60" s="57">
        <v>26</v>
      </c>
      <c r="F60" s="64">
        <f>($E$58-D60)*100/$E$58</f>
        <v>100</v>
      </c>
      <c r="G60" s="65" t="s">
        <v>11</v>
      </c>
      <c r="H60" s="62">
        <v>0</v>
      </c>
      <c r="I60" s="63"/>
      <c r="J60" s="66">
        <f t="shared" si="18"/>
        <v>100</v>
      </c>
    </row>
    <row r="61" spans="1:10" ht="24.75" customHeight="1" thickBot="1" x14ac:dyDescent="0.3">
      <c r="A61" s="182" t="s">
        <v>50</v>
      </c>
      <c r="B61" s="183" t="s">
        <v>51</v>
      </c>
      <c r="C61" s="101" t="s">
        <v>9</v>
      </c>
      <c r="D61" s="102">
        <v>16</v>
      </c>
      <c r="E61" s="103">
        <v>50</v>
      </c>
      <c r="F61" s="104">
        <f>($E$61-D61)*100/$E$61</f>
        <v>68</v>
      </c>
      <c r="G61" s="105" t="s">
        <v>9</v>
      </c>
      <c r="H61" s="102">
        <v>6.49</v>
      </c>
      <c r="I61" s="103">
        <v>7.46</v>
      </c>
      <c r="J61" s="106">
        <f t="shared" ref="J61:J63" si="19">($I$61-H61)*100/$I$61</f>
        <v>13.00268096514745</v>
      </c>
    </row>
    <row r="62" spans="1:10" ht="24.75" customHeight="1" thickBot="1" x14ac:dyDescent="0.3">
      <c r="A62" s="171"/>
      <c r="B62" s="174"/>
      <c r="C62" s="108" t="s">
        <v>10</v>
      </c>
      <c r="D62" s="109">
        <v>12</v>
      </c>
      <c r="E62" s="103">
        <v>50</v>
      </c>
      <c r="F62" s="111">
        <f>($E$61-D62)*100/$E$61</f>
        <v>76</v>
      </c>
      <c r="G62" s="112" t="s">
        <v>10</v>
      </c>
      <c r="H62" s="109">
        <v>5.52</v>
      </c>
      <c r="I62" s="110"/>
      <c r="J62" s="113">
        <f t="shared" si="19"/>
        <v>26.00536193029491</v>
      </c>
    </row>
    <row r="63" spans="1:10" ht="24.75" customHeight="1" thickBot="1" x14ac:dyDescent="0.3">
      <c r="A63" s="172"/>
      <c r="B63" s="175"/>
      <c r="C63" s="115" t="s">
        <v>11</v>
      </c>
      <c r="D63" s="116">
        <v>28</v>
      </c>
      <c r="E63" s="103">
        <v>50</v>
      </c>
      <c r="F63" s="118">
        <f>($E$61-D63)*100/$E$61</f>
        <v>44</v>
      </c>
      <c r="G63" s="119" t="s">
        <v>11</v>
      </c>
      <c r="H63" s="116">
        <v>4.3</v>
      </c>
      <c r="I63" s="117"/>
      <c r="J63" s="120">
        <f t="shared" si="19"/>
        <v>42.359249329758711</v>
      </c>
    </row>
    <row r="64" spans="1:10" ht="24.75" customHeight="1" thickBot="1" x14ac:dyDescent="0.3">
      <c r="A64" s="182" t="s">
        <v>52</v>
      </c>
      <c r="B64" s="183" t="s">
        <v>53</v>
      </c>
      <c r="C64" s="101" t="s">
        <v>9</v>
      </c>
      <c r="D64" s="102">
        <v>24</v>
      </c>
      <c r="E64" s="103">
        <v>54</v>
      </c>
      <c r="F64" s="104">
        <f>($E$64-D64)*100/$E$64</f>
        <v>55.555555555555557</v>
      </c>
      <c r="G64" s="105" t="s">
        <v>9</v>
      </c>
      <c r="H64" s="102">
        <v>6.37</v>
      </c>
      <c r="I64" s="103">
        <v>8.0299999999999994</v>
      </c>
      <c r="J64" s="106">
        <f t="shared" ref="J64:J66" si="20">($I$64-H64)*100/$I$64</f>
        <v>20.672478206724772</v>
      </c>
    </row>
    <row r="65" spans="1:10" ht="24.75" customHeight="1" thickBot="1" x14ac:dyDescent="0.3">
      <c r="A65" s="171"/>
      <c r="B65" s="174"/>
      <c r="C65" s="108" t="s">
        <v>10</v>
      </c>
      <c r="D65" s="109">
        <v>14</v>
      </c>
      <c r="E65" s="103">
        <v>54</v>
      </c>
      <c r="F65" s="111">
        <f>($E$64-D65)*100/$E$64</f>
        <v>74.074074074074076</v>
      </c>
      <c r="G65" s="112" t="s">
        <v>10</v>
      </c>
      <c r="H65" s="109">
        <v>5.56</v>
      </c>
      <c r="I65" s="110"/>
      <c r="J65" s="113">
        <f t="shared" si="20"/>
        <v>30.759651307596513</v>
      </c>
    </row>
    <row r="66" spans="1:10" ht="24.75" customHeight="1" thickBot="1" x14ac:dyDescent="0.3">
      <c r="A66" s="172"/>
      <c r="B66" s="175"/>
      <c r="C66" s="115" t="s">
        <v>11</v>
      </c>
      <c r="D66" s="122">
        <v>12</v>
      </c>
      <c r="E66" s="103">
        <v>54</v>
      </c>
      <c r="F66" s="118">
        <f>($E$64-D66)*100/$E$64</f>
        <v>77.777777777777771</v>
      </c>
      <c r="G66" s="119" t="s">
        <v>11</v>
      </c>
      <c r="H66" s="116">
        <v>5.65</v>
      </c>
      <c r="I66" s="117"/>
      <c r="J66" s="120">
        <f t="shared" si="20"/>
        <v>29.63885429638853</v>
      </c>
    </row>
    <row r="67" spans="1:10" ht="24.75" customHeight="1" thickBot="1" x14ac:dyDescent="0.3">
      <c r="A67" s="182" t="s">
        <v>54</v>
      </c>
      <c r="B67" s="183" t="s">
        <v>55</v>
      </c>
      <c r="C67" s="101" t="s">
        <v>9</v>
      </c>
      <c r="D67" s="123">
        <v>0</v>
      </c>
      <c r="E67" s="103">
        <v>50</v>
      </c>
      <c r="F67" s="104">
        <f>($E$67-D67)*100/$E$67</f>
        <v>100</v>
      </c>
      <c r="G67" s="105" t="s">
        <v>9</v>
      </c>
      <c r="H67" s="102">
        <v>5.8</v>
      </c>
      <c r="I67" s="103">
        <v>7.66</v>
      </c>
      <c r="J67" s="106">
        <f t="shared" ref="J67:J69" si="21">($I$67-H67)*100/$I$67</f>
        <v>24.28198433420366</v>
      </c>
    </row>
    <row r="68" spans="1:10" ht="24.75" customHeight="1" thickBot="1" x14ac:dyDescent="0.3">
      <c r="A68" s="171"/>
      <c r="B68" s="174"/>
      <c r="C68" s="108" t="s">
        <v>10</v>
      </c>
      <c r="D68" s="109">
        <v>0</v>
      </c>
      <c r="E68" s="103">
        <v>50</v>
      </c>
      <c r="F68" s="111">
        <f>($E$67-D68)*100/$E$67</f>
        <v>100</v>
      </c>
      <c r="G68" s="112" t="s">
        <v>10</v>
      </c>
      <c r="H68" s="109">
        <v>5.76</v>
      </c>
      <c r="I68" s="110"/>
      <c r="J68" s="113">
        <f t="shared" si="21"/>
        <v>24.80417754569191</v>
      </c>
    </row>
    <row r="69" spans="1:10" ht="24.75" customHeight="1" thickBot="1" x14ac:dyDescent="0.3">
      <c r="A69" s="172"/>
      <c r="B69" s="175"/>
      <c r="C69" s="115" t="s">
        <v>11</v>
      </c>
      <c r="D69" s="116">
        <v>0</v>
      </c>
      <c r="E69" s="103">
        <v>50</v>
      </c>
      <c r="F69" s="118">
        <f>($E$67-D69)*100/$E$67</f>
        <v>100</v>
      </c>
      <c r="G69" s="119" t="s">
        <v>11</v>
      </c>
      <c r="H69" s="116">
        <v>5.18</v>
      </c>
      <c r="I69" s="117"/>
      <c r="J69" s="120">
        <f t="shared" si="21"/>
        <v>32.375979112271544</v>
      </c>
    </row>
    <row r="70" spans="1:10" ht="24.75" customHeight="1" thickBot="1" x14ac:dyDescent="0.3">
      <c r="A70" s="182" t="s">
        <v>56</v>
      </c>
      <c r="B70" s="183" t="s">
        <v>57</v>
      </c>
      <c r="C70" s="101" t="s">
        <v>9</v>
      </c>
      <c r="D70" s="102">
        <v>14</v>
      </c>
      <c r="E70" s="103">
        <v>58</v>
      </c>
      <c r="F70" s="104">
        <f>($E$70-D70)*100/$E$70</f>
        <v>75.862068965517238</v>
      </c>
      <c r="G70" s="105" t="s">
        <v>9</v>
      </c>
      <c r="H70" s="102">
        <v>5.36</v>
      </c>
      <c r="I70" s="103">
        <v>7.04</v>
      </c>
      <c r="J70" s="106">
        <f t="shared" ref="J70:J72" si="22">($I$70-H70)*100/$I$70</f>
        <v>23.86363636363636</v>
      </c>
    </row>
    <row r="71" spans="1:10" ht="24.75" customHeight="1" thickBot="1" x14ac:dyDescent="0.3">
      <c r="A71" s="171"/>
      <c r="B71" s="174"/>
      <c r="C71" s="108" t="s">
        <v>10</v>
      </c>
      <c r="D71" s="109">
        <v>16</v>
      </c>
      <c r="E71" s="103">
        <v>58</v>
      </c>
      <c r="F71" s="111">
        <f>($E$70-D71)*100/$E$70</f>
        <v>72.41379310344827</v>
      </c>
      <c r="G71" s="112" t="s">
        <v>10</v>
      </c>
      <c r="H71" s="109">
        <v>5.56</v>
      </c>
      <c r="I71" s="110"/>
      <c r="J71" s="113">
        <f t="shared" si="22"/>
        <v>21.02272727272728</v>
      </c>
    </row>
    <row r="72" spans="1:10" ht="24.75" customHeight="1" thickBot="1" x14ac:dyDescent="0.3">
      <c r="A72" s="172"/>
      <c r="B72" s="175"/>
      <c r="C72" s="115" t="s">
        <v>11</v>
      </c>
      <c r="D72" s="124">
        <v>0</v>
      </c>
      <c r="E72" s="103">
        <v>58</v>
      </c>
      <c r="F72" s="125">
        <f>($E$70-D72)*100/$E$70</f>
        <v>100</v>
      </c>
      <c r="G72" s="126" t="s">
        <v>11</v>
      </c>
      <c r="H72" s="116">
        <v>5.1100000000000003</v>
      </c>
      <c r="I72" s="117"/>
      <c r="J72" s="120">
        <f t="shared" si="22"/>
        <v>27.414772727272723</v>
      </c>
    </row>
    <row r="73" spans="1:10" ht="24.75" customHeight="1" thickBot="1" x14ac:dyDescent="0.3">
      <c r="A73" s="182" t="s">
        <v>58</v>
      </c>
      <c r="B73" s="183" t="s">
        <v>59</v>
      </c>
      <c r="C73" s="101" t="s">
        <v>9</v>
      </c>
      <c r="D73" s="102">
        <v>0</v>
      </c>
      <c r="E73" s="103">
        <v>60</v>
      </c>
      <c r="F73" s="104">
        <f>($E$73-D73)*100/$E$73</f>
        <v>100</v>
      </c>
      <c r="G73" s="127" t="s">
        <v>9</v>
      </c>
      <c r="H73" s="107">
        <v>5.71</v>
      </c>
      <c r="I73" s="103">
        <v>7.77</v>
      </c>
      <c r="J73" s="106">
        <f t="shared" ref="J73:J75" si="23">($I$73-H73)*100/$I$73</f>
        <v>26.512226512226508</v>
      </c>
    </row>
    <row r="74" spans="1:10" ht="24.75" customHeight="1" thickBot="1" x14ac:dyDescent="0.3">
      <c r="A74" s="171"/>
      <c r="B74" s="174"/>
      <c r="C74" s="108" t="s">
        <v>10</v>
      </c>
      <c r="D74" s="109">
        <v>0</v>
      </c>
      <c r="E74" s="103">
        <v>60</v>
      </c>
      <c r="F74" s="111">
        <f>($E$73-D74)*100/$E$73</f>
        <v>100</v>
      </c>
      <c r="G74" s="128" t="s">
        <v>10</v>
      </c>
      <c r="H74" s="114">
        <v>5.28</v>
      </c>
      <c r="I74" s="110"/>
      <c r="J74" s="113">
        <f t="shared" si="23"/>
        <v>32.04633204633204</v>
      </c>
    </row>
    <row r="75" spans="1:10" ht="24.75" customHeight="1" thickBot="1" x14ac:dyDescent="0.3">
      <c r="A75" s="172"/>
      <c r="B75" s="175"/>
      <c r="C75" s="115" t="s">
        <v>11</v>
      </c>
      <c r="D75" s="116">
        <v>0</v>
      </c>
      <c r="E75" s="103">
        <v>60</v>
      </c>
      <c r="F75" s="118">
        <f>($E$73-D75)*100/$E$73</f>
        <v>100</v>
      </c>
      <c r="G75" s="129" t="s">
        <v>11</v>
      </c>
      <c r="H75" s="121">
        <v>5.69</v>
      </c>
      <c r="I75" s="117"/>
      <c r="J75" s="120">
        <f t="shared" si="23"/>
        <v>26.769626769626761</v>
      </c>
    </row>
    <row r="76" spans="1:10" ht="24.75" customHeight="1" x14ac:dyDescent="0.25">
      <c r="A76" s="182" t="s">
        <v>60</v>
      </c>
      <c r="B76" s="183" t="s">
        <v>61</v>
      </c>
      <c r="C76" s="101" t="s">
        <v>9</v>
      </c>
      <c r="D76" s="130">
        <v>16</v>
      </c>
      <c r="E76" s="131">
        <v>50</v>
      </c>
      <c r="F76" s="132">
        <f>($E$76-D76)*100/$E$76</f>
        <v>68</v>
      </c>
      <c r="G76" s="133" t="s">
        <v>9</v>
      </c>
      <c r="H76" s="102">
        <v>5.98</v>
      </c>
      <c r="I76" s="103">
        <v>7.68</v>
      </c>
      <c r="J76" s="106">
        <f t="shared" ref="J76:J78" si="24">($I$76-H76)*100/$I$76</f>
        <v>22.135416666666661</v>
      </c>
    </row>
    <row r="77" spans="1:10" ht="24.75" customHeight="1" x14ac:dyDescent="0.25">
      <c r="A77" s="171"/>
      <c r="B77" s="174"/>
      <c r="C77" s="108" t="s">
        <v>10</v>
      </c>
      <c r="D77" s="109">
        <v>14</v>
      </c>
      <c r="E77" s="131">
        <v>50</v>
      </c>
      <c r="F77" s="111">
        <f>($E$76-D77)*100/$E$76</f>
        <v>72</v>
      </c>
      <c r="G77" s="112" t="s">
        <v>10</v>
      </c>
      <c r="H77" s="109">
        <v>5.28</v>
      </c>
      <c r="I77" s="110"/>
      <c r="J77" s="113">
        <f t="shared" si="24"/>
        <v>31.249999999999993</v>
      </c>
    </row>
    <row r="78" spans="1:10" ht="24.75" customHeight="1" thickBot="1" x14ac:dyDescent="0.3">
      <c r="A78" s="172"/>
      <c r="B78" s="175"/>
      <c r="C78" s="115" t="s">
        <v>11</v>
      </c>
      <c r="D78" s="116">
        <v>0</v>
      </c>
      <c r="E78" s="131">
        <v>50</v>
      </c>
      <c r="F78" s="118">
        <f>($E$76-D78)*100/$E$76</f>
        <v>100</v>
      </c>
      <c r="G78" s="119" t="s">
        <v>11</v>
      </c>
      <c r="H78" s="116">
        <v>5.23</v>
      </c>
      <c r="I78" s="117"/>
      <c r="J78" s="120">
        <f t="shared" si="24"/>
        <v>31.901041666666661</v>
      </c>
    </row>
    <row r="79" spans="1:10" ht="24.75" customHeight="1" x14ac:dyDescent="0.25">
      <c r="A79" s="184" t="s">
        <v>62</v>
      </c>
      <c r="B79" s="180" t="s">
        <v>63</v>
      </c>
      <c r="C79" s="67" t="s">
        <v>9</v>
      </c>
      <c r="D79" s="73">
        <v>0</v>
      </c>
      <c r="E79" s="69">
        <v>74</v>
      </c>
      <c r="F79" s="70">
        <f>($E$79-D79)*100/$E$79</f>
        <v>100</v>
      </c>
      <c r="G79" s="71" t="s">
        <v>9</v>
      </c>
      <c r="H79" s="73">
        <v>5</v>
      </c>
      <c r="I79" s="69">
        <v>7.67</v>
      </c>
      <c r="J79" s="72">
        <f t="shared" ref="J79:J81" si="25">($I$79-H79)*100/$I$79</f>
        <v>34.810951760104302</v>
      </c>
    </row>
    <row r="80" spans="1:10" ht="24.75" customHeight="1" x14ac:dyDescent="0.25">
      <c r="A80" s="171"/>
      <c r="B80" s="174"/>
      <c r="C80" s="23" t="s">
        <v>10</v>
      </c>
      <c r="D80" s="24">
        <v>0</v>
      </c>
      <c r="E80" s="69">
        <v>74</v>
      </c>
      <c r="F80" s="26">
        <f>($E$79-D80)*100/$E$79</f>
        <v>100</v>
      </c>
      <c r="G80" s="27" t="s">
        <v>10</v>
      </c>
      <c r="H80" s="24">
        <v>5.81</v>
      </c>
      <c r="I80" s="25"/>
      <c r="J80" s="28">
        <f t="shared" si="25"/>
        <v>24.250325945241205</v>
      </c>
    </row>
    <row r="81" spans="1:10" ht="24.75" customHeight="1" thickBot="1" x14ac:dyDescent="0.3">
      <c r="A81" s="179"/>
      <c r="B81" s="181"/>
      <c r="C81" s="74" t="s">
        <v>11</v>
      </c>
      <c r="D81" s="79">
        <v>16</v>
      </c>
      <c r="E81" s="69">
        <v>74</v>
      </c>
      <c r="F81" s="76">
        <f>($E$79-D81)*100/$E$79</f>
        <v>78.378378378378372</v>
      </c>
      <c r="G81" s="77" t="s">
        <v>11</v>
      </c>
      <c r="H81" s="79">
        <v>6.04</v>
      </c>
      <c r="I81" s="75"/>
      <c r="J81" s="78">
        <f t="shared" si="25"/>
        <v>21.251629726205998</v>
      </c>
    </row>
    <row r="82" spans="1:10" ht="24.75" customHeight="1" thickBot="1" x14ac:dyDescent="0.3">
      <c r="A82" s="182" t="s">
        <v>64</v>
      </c>
      <c r="B82" s="183" t="s">
        <v>65</v>
      </c>
      <c r="C82" s="101" t="s">
        <v>9</v>
      </c>
      <c r="D82" s="102">
        <v>0</v>
      </c>
      <c r="E82" s="103">
        <v>70</v>
      </c>
      <c r="F82" s="104">
        <f>($E$82-D82)*100/$E$82</f>
        <v>100</v>
      </c>
      <c r="G82" s="134" t="s">
        <v>9</v>
      </c>
      <c r="H82" s="102">
        <v>5.95</v>
      </c>
      <c r="I82" s="103">
        <v>7.57</v>
      </c>
      <c r="J82" s="106">
        <f t="shared" ref="J82:J84" si="26">($I$82-H82)*100/$I$82</f>
        <v>21.400264200792602</v>
      </c>
    </row>
    <row r="83" spans="1:10" ht="24.75" customHeight="1" thickBot="1" x14ac:dyDescent="0.3">
      <c r="A83" s="171"/>
      <c r="B83" s="174"/>
      <c r="C83" s="108" t="s">
        <v>10</v>
      </c>
      <c r="D83" s="109">
        <v>0</v>
      </c>
      <c r="E83" s="103">
        <v>70</v>
      </c>
      <c r="F83" s="111">
        <f>($E$82-D83)*100/$E$82</f>
        <v>100</v>
      </c>
      <c r="G83" s="135" t="s">
        <v>10</v>
      </c>
      <c r="H83" s="109">
        <v>5.46</v>
      </c>
      <c r="I83" s="110"/>
      <c r="J83" s="113">
        <f t="shared" si="26"/>
        <v>27.873183619550861</v>
      </c>
    </row>
    <row r="84" spans="1:10" ht="24.75" customHeight="1" thickBot="1" x14ac:dyDescent="0.3">
      <c r="A84" s="172"/>
      <c r="B84" s="175"/>
      <c r="C84" s="115" t="s">
        <v>11</v>
      </c>
      <c r="D84" s="116">
        <v>0</v>
      </c>
      <c r="E84" s="103">
        <v>70</v>
      </c>
      <c r="F84" s="118">
        <f>($E$82-D84)*100/$E$82</f>
        <v>100</v>
      </c>
      <c r="G84" s="136" t="s">
        <v>11</v>
      </c>
      <c r="H84" s="116">
        <v>5.45</v>
      </c>
      <c r="I84" s="117"/>
      <c r="J84" s="120">
        <f t="shared" si="26"/>
        <v>28.005284015852048</v>
      </c>
    </row>
    <row r="85" spans="1:10" ht="24.75" customHeight="1" thickBot="1" x14ac:dyDescent="0.3">
      <c r="A85" s="182" t="s">
        <v>66</v>
      </c>
      <c r="B85" s="183" t="s">
        <v>67</v>
      </c>
      <c r="C85" s="101" t="s">
        <v>9</v>
      </c>
      <c r="D85" s="102">
        <v>0</v>
      </c>
      <c r="E85" s="103">
        <v>64</v>
      </c>
      <c r="F85" s="104">
        <f>($E$85-D85)*100/$E$85</f>
        <v>100</v>
      </c>
      <c r="G85" s="134" t="s">
        <v>9</v>
      </c>
      <c r="H85" s="102">
        <v>6.08</v>
      </c>
      <c r="I85" s="103">
        <v>7.74</v>
      </c>
      <c r="J85" s="106">
        <f>($I$85-H85)*100/$I$85</f>
        <v>21.447028423772608</v>
      </c>
    </row>
    <row r="86" spans="1:10" ht="24.75" customHeight="1" thickBot="1" x14ac:dyDescent="0.3">
      <c r="A86" s="171"/>
      <c r="B86" s="174"/>
      <c r="C86" s="108" t="s">
        <v>10</v>
      </c>
      <c r="D86" s="109">
        <v>0</v>
      </c>
      <c r="E86" s="103">
        <v>64</v>
      </c>
      <c r="F86" s="111">
        <f>($E$85-D86)*100/$E$85</f>
        <v>100</v>
      </c>
      <c r="G86" s="135" t="s">
        <v>10</v>
      </c>
      <c r="H86" s="109">
        <v>5.78</v>
      </c>
      <c r="I86" s="103">
        <v>7.74</v>
      </c>
      <c r="J86" s="113">
        <f>($I$85-H86)*100/$I$85</f>
        <v>25.322997416020669</v>
      </c>
    </row>
    <row r="87" spans="1:10" ht="24.75" customHeight="1" thickBot="1" x14ac:dyDescent="0.3">
      <c r="A87" s="172"/>
      <c r="B87" s="175"/>
      <c r="C87" s="115" t="s">
        <v>11</v>
      </c>
      <c r="D87" s="116">
        <v>0</v>
      </c>
      <c r="E87" s="103">
        <v>64</v>
      </c>
      <c r="F87" s="118">
        <f>($E$85-D87)*100/$E$85</f>
        <v>100</v>
      </c>
      <c r="G87" s="136" t="s">
        <v>11</v>
      </c>
      <c r="H87" s="116">
        <v>5.79</v>
      </c>
      <c r="I87" s="103">
        <v>7.74</v>
      </c>
      <c r="J87" s="120">
        <f>($I$85-H87)*100/$I$85</f>
        <v>25.193798449612405</v>
      </c>
    </row>
    <row r="88" spans="1:10" ht="24.75" customHeight="1" x14ac:dyDescent="0.25">
      <c r="A88" s="178" t="s">
        <v>68</v>
      </c>
      <c r="B88" s="180" t="s">
        <v>69</v>
      </c>
      <c r="C88" s="67" t="s">
        <v>9</v>
      </c>
      <c r="D88" s="73">
        <v>0</v>
      </c>
      <c r="E88" s="69">
        <v>64</v>
      </c>
      <c r="F88" s="70">
        <f>($E$88-D88)*100/$E$88</f>
        <v>100</v>
      </c>
      <c r="G88" s="71" t="s">
        <v>9</v>
      </c>
      <c r="H88" s="73">
        <v>0</v>
      </c>
      <c r="I88" s="69">
        <v>6.95</v>
      </c>
      <c r="J88" s="72">
        <f t="shared" ref="J88:J90" si="27">($I$88-H88)*100/$I$88</f>
        <v>100</v>
      </c>
    </row>
    <row r="89" spans="1:10" ht="24.75" customHeight="1" x14ac:dyDescent="0.25">
      <c r="A89" s="171"/>
      <c r="B89" s="174"/>
      <c r="C89" s="23" t="s">
        <v>10</v>
      </c>
      <c r="D89" s="24">
        <v>0</v>
      </c>
      <c r="E89" s="69">
        <v>64</v>
      </c>
      <c r="F89" s="26">
        <f>($E$88-D89)*100/$E$88</f>
        <v>100</v>
      </c>
      <c r="G89" s="27" t="s">
        <v>10</v>
      </c>
      <c r="H89" s="24">
        <v>4.4800000000000004</v>
      </c>
      <c r="I89" s="69">
        <v>6.95</v>
      </c>
      <c r="J89" s="28">
        <f t="shared" si="27"/>
        <v>35.539568345323737</v>
      </c>
    </row>
    <row r="90" spans="1:10" ht="24.75" customHeight="1" thickBot="1" x14ac:dyDescent="0.3">
      <c r="A90" s="179"/>
      <c r="B90" s="181"/>
      <c r="C90" s="74" t="s">
        <v>11</v>
      </c>
      <c r="D90" s="79">
        <v>0</v>
      </c>
      <c r="E90" s="69">
        <v>64</v>
      </c>
      <c r="F90" s="76">
        <f>($E$88-D90)*100/$E$88</f>
        <v>100</v>
      </c>
      <c r="G90" s="77" t="s">
        <v>11</v>
      </c>
      <c r="H90" s="79">
        <v>0</v>
      </c>
      <c r="I90" s="69">
        <v>6.95</v>
      </c>
      <c r="J90" s="78">
        <f t="shared" si="27"/>
        <v>100</v>
      </c>
    </row>
    <row r="91" spans="1:10" ht="24.75" customHeight="1" x14ac:dyDescent="0.25">
      <c r="A91" s="170" t="s">
        <v>70</v>
      </c>
      <c r="B91" s="173" t="s">
        <v>71</v>
      </c>
      <c r="C91" s="101" t="s">
        <v>9</v>
      </c>
      <c r="D91" s="130">
        <v>12</v>
      </c>
      <c r="E91" s="131">
        <v>68</v>
      </c>
      <c r="F91" s="132">
        <f>($E$91-D91)*100/$E$91</f>
        <v>82.352941176470594</v>
      </c>
      <c r="G91" s="105" t="s">
        <v>9</v>
      </c>
      <c r="H91" s="130">
        <v>5.79</v>
      </c>
      <c r="I91" s="131">
        <v>6.9</v>
      </c>
      <c r="J91" s="140">
        <f t="shared" ref="J91:J93" si="28">($I$91-H91)*100/$I$91</f>
        <v>16.086956521739133</v>
      </c>
    </row>
    <row r="92" spans="1:10" ht="24.75" customHeight="1" x14ac:dyDescent="0.25">
      <c r="A92" s="171"/>
      <c r="B92" s="174"/>
      <c r="C92" s="108" t="s">
        <v>10</v>
      </c>
      <c r="D92" s="109">
        <v>20</v>
      </c>
      <c r="E92" s="131">
        <v>68</v>
      </c>
      <c r="F92" s="111">
        <f>($E$91-D92)*100/$E$91</f>
        <v>70.588235294117652</v>
      </c>
      <c r="G92" s="112" t="s">
        <v>10</v>
      </c>
      <c r="H92" s="109">
        <v>5.54</v>
      </c>
      <c r="I92" s="131">
        <v>6.9</v>
      </c>
      <c r="J92" s="113">
        <f t="shared" si="28"/>
        <v>19.710144927536234</v>
      </c>
    </row>
    <row r="93" spans="1:10" ht="24.75" customHeight="1" thickBot="1" x14ac:dyDescent="0.3">
      <c r="A93" s="172"/>
      <c r="B93" s="175"/>
      <c r="C93" s="115" t="s">
        <v>11</v>
      </c>
      <c r="D93" s="116">
        <v>12</v>
      </c>
      <c r="E93" s="131">
        <v>68</v>
      </c>
      <c r="F93" s="118">
        <f>($E$91-D93)*100/$E$91</f>
        <v>82.352941176470594</v>
      </c>
      <c r="G93" s="119" t="s">
        <v>11</v>
      </c>
      <c r="H93" s="116">
        <v>5.91</v>
      </c>
      <c r="I93" s="131">
        <v>6.9</v>
      </c>
      <c r="J93" s="120">
        <f t="shared" si="28"/>
        <v>14.347826086956525</v>
      </c>
    </row>
    <row r="94" spans="1:10" ht="24.75" customHeight="1" thickBot="1" x14ac:dyDescent="0.3">
      <c r="A94" s="176" t="s">
        <v>72</v>
      </c>
      <c r="B94" s="177" t="s">
        <v>73</v>
      </c>
      <c r="C94" s="17" t="s">
        <v>9</v>
      </c>
      <c r="D94" s="18">
        <v>0</v>
      </c>
      <c r="E94" s="19">
        <v>60</v>
      </c>
      <c r="F94" s="20">
        <f>($E$94-D94)*100/$E$94</f>
        <v>100</v>
      </c>
      <c r="G94" s="21" t="s">
        <v>9</v>
      </c>
      <c r="H94" s="18">
        <v>5.95</v>
      </c>
      <c r="I94" s="19">
        <v>7.78</v>
      </c>
      <c r="J94" s="22">
        <f t="shared" ref="J94:J96" si="29">($I$94-H94)*100/$I$94</f>
        <v>23.52185089974293</v>
      </c>
    </row>
    <row r="95" spans="1:10" ht="24.75" customHeight="1" thickBot="1" x14ac:dyDescent="0.3">
      <c r="A95" s="171"/>
      <c r="B95" s="174"/>
      <c r="C95" s="23" t="s">
        <v>10</v>
      </c>
      <c r="D95" s="24">
        <v>0</v>
      </c>
      <c r="E95" s="19">
        <v>60</v>
      </c>
      <c r="F95" s="26">
        <f>($E$94-D95)*100/$E$94</f>
        <v>100</v>
      </c>
      <c r="G95" s="27" t="s">
        <v>10</v>
      </c>
      <c r="H95" s="24">
        <v>6.11</v>
      </c>
      <c r="I95" s="19">
        <v>7.78</v>
      </c>
      <c r="J95" s="28">
        <f t="shared" si="29"/>
        <v>21.465295629820051</v>
      </c>
    </row>
    <row r="96" spans="1:10" ht="24.75" customHeight="1" thickBot="1" x14ac:dyDescent="0.3">
      <c r="A96" s="172"/>
      <c r="B96" s="175"/>
      <c r="C96" s="29" t="s">
        <v>11</v>
      </c>
      <c r="D96" s="30">
        <v>16</v>
      </c>
      <c r="E96" s="19">
        <v>60</v>
      </c>
      <c r="F96" s="32">
        <f>($E$94-D96)*100/$E$94</f>
        <v>73.333333333333329</v>
      </c>
      <c r="G96" s="33" t="s">
        <v>11</v>
      </c>
      <c r="H96" s="30">
        <v>6.49</v>
      </c>
      <c r="I96" s="19">
        <v>7.78</v>
      </c>
      <c r="J96" s="34">
        <f t="shared" si="29"/>
        <v>16.580976863753214</v>
      </c>
    </row>
    <row r="97" spans="1:10" ht="15.75" customHeight="1" x14ac:dyDescent="0.25">
      <c r="A97" s="141"/>
      <c r="D97" s="142"/>
      <c r="E97" s="142"/>
      <c r="F97" s="142"/>
      <c r="H97" s="142"/>
      <c r="I97" s="142"/>
      <c r="J97" s="142"/>
    </row>
    <row r="98" spans="1:10" ht="15.75" customHeight="1" x14ac:dyDescent="0.25">
      <c r="A98" s="141"/>
      <c r="D98" s="142"/>
      <c r="E98" s="142"/>
      <c r="F98" s="142"/>
      <c r="H98" s="142"/>
      <c r="I98" s="142"/>
      <c r="J98" s="142"/>
    </row>
    <row r="99" spans="1:10" ht="15.75" customHeight="1" x14ac:dyDescent="0.25">
      <c r="A99" s="141"/>
      <c r="D99" s="142"/>
      <c r="E99" s="142"/>
      <c r="F99" s="142"/>
      <c r="H99" s="142"/>
      <c r="I99" s="142"/>
      <c r="J99" s="142"/>
    </row>
    <row r="100" spans="1:10" ht="15.75" customHeight="1" x14ac:dyDescent="0.25">
      <c r="A100" s="141"/>
      <c r="D100" s="142"/>
      <c r="E100" s="142"/>
      <c r="F100" s="142"/>
      <c r="H100" s="142"/>
      <c r="I100" s="142"/>
      <c r="J100" s="142"/>
    </row>
    <row r="101" spans="1:10" ht="15.75" customHeight="1" x14ac:dyDescent="0.25">
      <c r="A101" s="141"/>
      <c r="D101" s="142"/>
      <c r="E101" s="142"/>
      <c r="F101" s="142"/>
      <c r="H101" s="142"/>
      <c r="I101" s="142"/>
      <c r="J101" s="142"/>
    </row>
    <row r="102" spans="1:10" ht="15.75" customHeight="1" x14ac:dyDescent="0.25">
      <c r="A102" s="141"/>
      <c r="D102" s="142"/>
      <c r="E102" s="142"/>
      <c r="F102" s="142"/>
      <c r="H102" s="142"/>
      <c r="I102" s="142"/>
      <c r="J102" s="142"/>
    </row>
    <row r="103" spans="1:10" ht="15.75" customHeight="1" x14ac:dyDescent="0.25">
      <c r="A103" s="141"/>
      <c r="D103" s="142"/>
      <c r="E103" s="142"/>
      <c r="F103" s="142"/>
      <c r="H103" s="142"/>
      <c r="I103" s="142"/>
      <c r="J103" s="142"/>
    </row>
    <row r="104" spans="1:10" ht="15.75" customHeight="1" x14ac:dyDescent="0.25">
      <c r="A104" s="141"/>
      <c r="D104" s="142"/>
      <c r="E104" s="142"/>
      <c r="F104" s="142"/>
      <c r="H104" s="142"/>
      <c r="I104" s="142"/>
      <c r="J104" s="142"/>
    </row>
    <row r="105" spans="1:10" ht="15.75" customHeight="1" x14ac:dyDescent="0.25">
      <c r="A105" s="141"/>
      <c r="D105" s="142"/>
      <c r="E105" s="142"/>
      <c r="F105" s="142"/>
      <c r="H105" s="142"/>
      <c r="I105" s="142"/>
      <c r="J105" s="142"/>
    </row>
    <row r="106" spans="1:10" ht="15.75" customHeight="1" x14ac:dyDescent="0.25">
      <c r="A106" s="141"/>
      <c r="D106" s="142"/>
      <c r="E106" s="142"/>
      <c r="F106" s="142"/>
      <c r="H106" s="142"/>
      <c r="I106" s="142"/>
      <c r="J106" s="142"/>
    </row>
    <row r="107" spans="1:10" ht="15.75" customHeight="1" x14ac:dyDescent="0.25">
      <c r="A107" s="141"/>
      <c r="D107" s="142"/>
      <c r="E107" s="142"/>
      <c r="F107" s="142"/>
      <c r="H107" s="142"/>
      <c r="I107" s="142"/>
      <c r="J107" s="142"/>
    </row>
    <row r="108" spans="1:10" ht="15.75" customHeight="1" x14ac:dyDescent="0.25">
      <c r="A108" s="141"/>
      <c r="D108" s="142"/>
      <c r="E108" s="142"/>
      <c r="F108" s="142"/>
      <c r="H108" s="142"/>
      <c r="I108" s="142"/>
      <c r="J108" s="142"/>
    </row>
    <row r="109" spans="1:10" ht="15.75" customHeight="1" x14ac:dyDescent="0.25">
      <c r="A109" s="141"/>
      <c r="D109" s="142"/>
      <c r="E109" s="142"/>
      <c r="F109" s="142"/>
      <c r="H109" s="142"/>
      <c r="I109" s="142"/>
      <c r="J109" s="142"/>
    </row>
    <row r="110" spans="1:10" ht="15.75" customHeight="1" x14ac:dyDescent="0.25">
      <c r="A110" s="141"/>
      <c r="D110" s="142"/>
      <c r="E110" s="142"/>
      <c r="F110" s="142"/>
      <c r="H110" s="142"/>
      <c r="I110" s="142"/>
      <c r="J110" s="142"/>
    </row>
    <row r="111" spans="1:10" ht="15.75" customHeight="1" x14ac:dyDescent="0.25">
      <c r="A111" s="141"/>
      <c r="D111" s="142"/>
      <c r="E111" s="142"/>
      <c r="F111" s="142"/>
      <c r="H111" s="142"/>
      <c r="I111" s="142"/>
      <c r="J111" s="142"/>
    </row>
    <row r="112" spans="1:10" ht="15.75" customHeight="1" x14ac:dyDescent="0.25">
      <c r="A112" s="141"/>
      <c r="D112" s="142"/>
      <c r="E112" s="142"/>
      <c r="F112" s="142"/>
      <c r="H112" s="142"/>
      <c r="I112" s="142"/>
      <c r="J112" s="142"/>
    </row>
    <row r="113" spans="1:10" ht="15.75" customHeight="1" x14ac:dyDescent="0.25">
      <c r="A113" s="141"/>
      <c r="D113" s="142"/>
      <c r="E113" s="142"/>
      <c r="F113" s="142"/>
      <c r="H113" s="142"/>
      <c r="I113" s="142"/>
      <c r="J113" s="142"/>
    </row>
    <row r="114" spans="1:10" ht="15.75" customHeight="1" x14ac:dyDescent="0.25">
      <c r="A114" s="141"/>
      <c r="D114" s="142"/>
      <c r="E114" s="142"/>
      <c r="F114" s="142"/>
      <c r="H114" s="142"/>
      <c r="I114" s="142"/>
      <c r="J114" s="142"/>
    </row>
    <row r="115" spans="1:10" ht="15.75" customHeight="1" x14ac:dyDescent="0.25">
      <c r="A115" s="141"/>
      <c r="D115" s="142"/>
      <c r="E115" s="142"/>
      <c r="F115" s="142"/>
      <c r="H115" s="142"/>
      <c r="I115" s="142"/>
      <c r="J115" s="142"/>
    </row>
    <row r="116" spans="1:10" ht="15.75" customHeight="1" x14ac:dyDescent="0.25">
      <c r="A116" s="141"/>
      <c r="D116" s="142"/>
      <c r="E116" s="142"/>
      <c r="F116" s="142"/>
      <c r="H116" s="142"/>
      <c r="I116" s="142"/>
      <c r="J116" s="142"/>
    </row>
    <row r="117" spans="1:10" ht="15.75" customHeight="1" x14ac:dyDescent="0.25">
      <c r="A117" s="141"/>
      <c r="D117" s="142"/>
      <c r="E117" s="142"/>
      <c r="F117" s="142"/>
      <c r="H117" s="142"/>
      <c r="I117" s="142"/>
      <c r="J117" s="142"/>
    </row>
    <row r="118" spans="1:10" ht="15.75" customHeight="1" x14ac:dyDescent="0.25">
      <c r="A118" s="141"/>
      <c r="D118" s="142"/>
      <c r="E118" s="142"/>
      <c r="F118" s="142"/>
      <c r="H118" s="142"/>
      <c r="I118" s="142"/>
      <c r="J118" s="142"/>
    </row>
    <row r="119" spans="1:10" ht="15.75" customHeight="1" x14ac:dyDescent="0.25">
      <c r="A119" s="141"/>
      <c r="D119" s="142"/>
      <c r="E119" s="142"/>
      <c r="F119" s="142"/>
      <c r="H119" s="142"/>
      <c r="I119" s="142"/>
      <c r="J119" s="142"/>
    </row>
    <row r="120" spans="1:10" ht="15.75" customHeight="1" x14ac:dyDescent="0.25">
      <c r="A120" s="141"/>
      <c r="D120" s="142"/>
      <c r="E120" s="142"/>
      <c r="F120" s="142"/>
      <c r="H120" s="142"/>
      <c r="I120" s="142"/>
      <c r="J120" s="142"/>
    </row>
    <row r="121" spans="1:10" ht="15.75" customHeight="1" x14ac:dyDescent="0.25">
      <c r="A121" s="141"/>
      <c r="D121" s="142"/>
      <c r="E121" s="142"/>
      <c r="F121" s="142"/>
      <c r="H121" s="142"/>
      <c r="I121" s="142"/>
      <c r="J121" s="142"/>
    </row>
    <row r="122" spans="1:10" ht="15.75" customHeight="1" x14ac:dyDescent="0.25">
      <c r="A122" s="141"/>
      <c r="D122" s="142"/>
      <c r="E122" s="142"/>
      <c r="F122" s="142"/>
      <c r="H122" s="142"/>
      <c r="I122" s="142"/>
      <c r="J122" s="142"/>
    </row>
    <row r="123" spans="1:10" ht="15.75" customHeight="1" x14ac:dyDescent="0.25">
      <c r="A123" s="141"/>
      <c r="D123" s="142"/>
      <c r="E123" s="142"/>
      <c r="F123" s="142"/>
      <c r="H123" s="142"/>
      <c r="I123" s="142"/>
      <c r="J123" s="142"/>
    </row>
    <row r="124" spans="1:10" ht="15.75" customHeight="1" x14ac:dyDescent="0.25">
      <c r="A124" s="141"/>
      <c r="D124" s="142"/>
      <c r="E124" s="142"/>
      <c r="F124" s="142"/>
      <c r="H124" s="142"/>
      <c r="I124" s="142"/>
      <c r="J124" s="142"/>
    </row>
    <row r="125" spans="1:10" ht="15.75" customHeight="1" x14ac:dyDescent="0.25">
      <c r="A125" s="141"/>
      <c r="D125" s="142"/>
      <c r="E125" s="142"/>
      <c r="F125" s="142"/>
      <c r="H125" s="142"/>
      <c r="I125" s="142"/>
      <c r="J125" s="142"/>
    </row>
    <row r="126" spans="1:10" ht="15.75" customHeight="1" x14ac:dyDescent="0.25">
      <c r="A126" s="141"/>
      <c r="D126" s="142"/>
      <c r="E126" s="142"/>
      <c r="F126" s="142"/>
      <c r="H126" s="142"/>
      <c r="I126" s="142"/>
      <c r="J126" s="142"/>
    </row>
    <row r="127" spans="1:10" ht="15.75" customHeight="1" x14ac:dyDescent="0.25">
      <c r="A127" s="141"/>
      <c r="D127" s="142"/>
      <c r="E127" s="142"/>
      <c r="F127" s="142"/>
      <c r="H127" s="142"/>
      <c r="I127" s="142"/>
      <c r="J127" s="142"/>
    </row>
    <row r="128" spans="1:10" ht="15.75" customHeight="1" x14ac:dyDescent="0.25">
      <c r="A128" s="141"/>
      <c r="D128" s="142"/>
      <c r="E128" s="142"/>
      <c r="F128" s="142"/>
      <c r="H128" s="142"/>
      <c r="I128" s="142"/>
      <c r="J128" s="142"/>
    </row>
    <row r="129" spans="1:10" ht="15.75" customHeight="1" x14ac:dyDescent="0.25">
      <c r="A129" s="141"/>
      <c r="D129" s="142"/>
      <c r="E129" s="142"/>
      <c r="F129" s="142"/>
      <c r="H129" s="142"/>
      <c r="I129" s="142"/>
      <c r="J129" s="142"/>
    </row>
    <row r="130" spans="1:10" ht="15.75" customHeight="1" x14ac:dyDescent="0.25">
      <c r="A130" s="141"/>
      <c r="D130" s="142"/>
      <c r="E130" s="142"/>
      <c r="F130" s="142"/>
      <c r="H130" s="142"/>
      <c r="I130" s="142"/>
      <c r="J130" s="142"/>
    </row>
    <row r="131" spans="1:10" ht="15.75" customHeight="1" x14ac:dyDescent="0.25">
      <c r="A131" s="141"/>
      <c r="D131" s="142"/>
      <c r="E131" s="142"/>
      <c r="F131" s="142"/>
      <c r="H131" s="142"/>
      <c r="I131" s="142"/>
      <c r="J131" s="142"/>
    </row>
    <row r="132" spans="1:10" ht="15.75" customHeight="1" x14ac:dyDescent="0.25">
      <c r="A132" s="141"/>
      <c r="D132" s="142"/>
      <c r="E132" s="142"/>
      <c r="F132" s="142"/>
      <c r="H132" s="142"/>
      <c r="I132" s="142"/>
      <c r="J132" s="142"/>
    </row>
    <row r="133" spans="1:10" ht="15.75" customHeight="1" x14ac:dyDescent="0.25">
      <c r="A133" s="141"/>
      <c r="D133" s="142"/>
      <c r="E133" s="142"/>
      <c r="F133" s="142"/>
      <c r="H133" s="142"/>
      <c r="I133" s="142"/>
      <c r="J133" s="142"/>
    </row>
    <row r="134" spans="1:10" ht="15.75" customHeight="1" x14ac:dyDescent="0.25">
      <c r="A134" s="141"/>
      <c r="D134" s="142"/>
      <c r="E134" s="142"/>
      <c r="F134" s="142"/>
      <c r="H134" s="142"/>
      <c r="I134" s="142"/>
      <c r="J134" s="142"/>
    </row>
    <row r="135" spans="1:10" ht="15.75" customHeight="1" x14ac:dyDescent="0.25">
      <c r="A135" s="141"/>
      <c r="D135" s="142"/>
      <c r="E135" s="142"/>
      <c r="F135" s="142"/>
      <c r="H135" s="142"/>
      <c r="I135" s="142"/>
      <c r="J135" s="142"/>
    </row>
    <row r="136" spans="1:10" ht="15.75" customHeight="1" x14ac:dyDescent="0.25">
      <c r="A136" s="141"/>
      <c r="D136" s="142"/>
      <c r="E136" s="142"/>
      <c r="F136" s="142"/>
      <c r="H136" s="142"/>
      <c r="I136" s="142"/>
      <c r="J136" s="142"/>
    </row>
    <row r="137" spans="1:10" ht="15.75" customHeight="1" x14ac:dyDescent="0.25">
      <c r="A137" s="141"/>
      <c r="D137" s="142"/>
      <c r="E137" s="142"/>
      <c r="F137" s="142"/>
      <c r="H137" s="142"/>
      <c r="I137" s="142"/>
      <c r="J137" s="142"/>
    </row>
    <row r="138" spans="1:10" ht="15.75" customHeight="1" x14ac:dyDescent="0.25">
      <c r="A138" s="141"/>
      <c r="D138" s="142"/>
      <c r="E138" s="142"/>
      <c r="F138" s="142"/>
      <c r="H138" s="142"/>
      <c r="I138" s="142"/>
      <c r="J138" s="142"/>
    </row>
    <row r="139" spans="1:10" ht="15.75" customHeight="1" x14ac:dyDescent="0.25">
      <c r="A139" s="141"/>
      <c r="D139" s="142"/>
      <c r="E139" s="142"/>
      <c r="F139" s="142"/>
      <c r="H139" s="142"/>
      <c r="I139" s="142"/>
      <c r="J139" s="142"/>
    </row>
    <row r="140" spans="1:10" ht="15.75" customHeight="1" x14ac:dyDescent="0.25">
      <c r="A140" s="141"/>
      <c r="D140" s="142"/>
      <c r="E140" s="142"/>
      <c r="F140" s="142"/>
      <c r="H140" s="142"/>
      <c r="I140" s="142"/>
      <c r="J140" s="142"/>
    </row>
    <row r="141" spans="1:10" ht="15.75" customHeight="1" x14ac:dyDescent="0.25">
      <c r="A141" s="141"/>
      <c r="D141" s="142"/>
      <c r="E141" s="142"/>
      <c r="F141" s="142"/>
      <c r="H141" s="142"/>
      <c r="I141" s="142"/>
      <c r="J141" s="142"/>
    </row>
    <row r="142" spans="1:10" ht="15.75" customHeight="1" x14ac:dyDescent="0.25">
      <c r="A142" s="141"/>
      <c r="D142" s="142"/>
      <c r="E142" s="142"/>
      <c r="F142" s="142"/>
      <c r="H142" s="142"/>
      <c r="I142" s="142"/>
      <c r="J142" s="142"/>
    </row>
    <row r="143" spans="1:10" ht="15.75" customHeight="1" x14ac:dyDescent="0.25">
      <c r="A143" s="141"/>
      <c r="D143" s="142"/>
      <c r="E143" s="142"/>
      <c r="F143" s="142"/>
      <c r="H143" s="142"/>
      <c r="I143" s="142"/>
      <c r="J143" s="142"/>
    </row>
    <row r="144" spans="1:10" ht="15.75" customHeight="1" x14ac:dyDescent="0.25">
      <c r="A144" s="141"/>
      <c r="D144" s="142"/>
      <c r="E144" s="142"/>
      <c r="F144" s="142"/>
      <c r="H144" s="142"/>
      <c r="I144" s="142"/>
      <c r="J144" s="142"/>
    </row>
    <row r="145" spans="1:10" ht="15.75" customHeight="1" x14ac:dyDescent="0.25">
      <c r="A145" s="141"/>
      <c r="D145" s="142"/>
      <c r="E145" s="142"/>
      <c r="F145" s="142"/>
      <c r="H145" s="142"/>
      <c r="I145" s="142"/>
      <c r="J145" s="142"/>
    </row>
    <row r="146" spans="1:10" ht="15.75" customHeight="1" x14ac:dyDescent="0.25">
      <c r="A146" s="141"/>
      <c r="D146" s="142"/>
      <c r="E146" s="142"/>
      <c r="F146" s="142"/>
      <c r="H146" s="142"/>
      <c r="I146" s="142"/>
      <c r="J146" s="142"/>
    </row>
    <row r="147" spans="1:10" ht="15.75" customHeight="1" x14ac:dyDescent="0.25">
      <c r="A147" s="141"/>
      <c r="D147" s="142"/>
      <c r="E147" s="142"/>
      <c r="F147" s="142"/>
      <c r="H147" s="142"/>
      <c r="I147" s="142"/>
      <c r="J147" s="142"/>
    </row>
    <row r="148" spans="1:10" ht="15.75" customHeight="1" x14ac:dyDescent="0.25">
      <c r="A148" s="141"/>
      <c r="D148" s="142"/>
      <c r="E148" s="142"/>
      <c r="F148" s="142"/>
      <c r="H148" s="142"/>
      <c r="I148" s="142"/>
      <c r="J148" s="142"/>
    </row>
    <row r="149" spans="1:10" ht="15.75" customHeight="1" x14ac:dyDescent="0.25">
      <c r="A149" s="141"/>
      <c r="D149" s="142"/>
      <c r="E149" s="142"/>
      <c r="F149" s="142"/>
      <c r="H149" s="142"/>
      <c r="I149" s="142"/>
      <c r="J149" s="142"/>
    </row>
    <row r="150" spans="1:10" ht="15.75" customHeight="1" x14ac:dyDescent="0.25">
      <c r="A150" s="141"/>
      <c r="D150" s="142"/>
      <c r="E150" s="142"/>
      <c r="F150" s="142"/>
      <c r="H150" s="142"/>
      <c r="I150" s="142"/>
      <c r="J150" s="142"/>
    </row>
    <row r="151" spans="1:10" ht="15.75" customHeight="1" x14ac:dyDescent="0.25">
      <c r="A151" s="141"/>
      <c r="D151" s="142"/>
      <c r="E151" s="142"/>
      <c r="F151" s="142"/>
      <c r="H151" s="142"/>
      <c r="I151" s="142"/>
      <c r="J151" s="142"/>
    </row>
    <row r="152" spans="1:10" ht="15.75" customHeight="1" x14ac:dyDescent="0.25">
      <c r="A152" s="141"/>
      <c r="D152" s="142"/>
      <c r="E152" s="142"/>
      <c r="F152" s="142"/>
      <c r="H152" s="142"/>
      <c r="I152" s="142"/>
      <c r="J152" s="142"/>
    </row>
    <row r="153" spans="1:10" ht="15.75" customHeight="1" x14ac:dyDescent="0.25">
      <c r="A153" s="141"/>
      <c r="D153" s="142"/>
      <c r="E153" s="142"/>
      <c r="F153" s="142"/>
      <c r="H153" s="142"/>
      <c r="I153" s="142"/>
      <c r="J153" s="142"/>
    </row>
    <row r="154" spans="1:10" ht="15.75" customHeight="1" x14ac:dyDescent="0.25">
      <c r="A154" s="141"/>
      <c r="D154" s="142"/>
      <c r="E154" s="142"/>
      <c r="F154" s="142"/>
      <c r="H154" s="142"/>
      <c r="I154" s="142"/>
      <c r="J154" s="142"/>
    </row>
    <row r="155" spans="1:10" ht="15.75" customHeight="1" x14ac:dyDescent="0.25">
      <c r="A155" s="141"/>
      <c r="D155" s="142"/>
      <c r="E155" s="142"/>
      <c r="F155" s="142"/>
      <c r="H155" s="142"/>
      <c r="I155" s="142"/>
      <c r="J155" s="142"/>
    </row>
    <row r="156" spans="1:10" ht="15.75" customHeight="1" x14ac:dyDescent="0.25">
      <c r="A156" s="141"/>
      <c r="D156" s="142"/>
      <c r="E156" s="142"/>
      <c r="F156" s="142"/>
      <c r="H156" s="142"/>
      <c r="I156" s="142"/>
      <c r="J156" s="142"/>
    </row>
    <row r="157" spans="1:10" ht="15.75" customHeight="1" x14ac:dyDescent="0.25">
      <c r="A157" s="141"/>
      <c r="D157" s="142"/>
      <c r="E157" s="142"/>
      <c r="F157" s="142"/>
      <c r="H157" s="142"/>
      <c r="I157" s="142"/>
      <c r="J157" s="142"/>
    </row>
    <row r="158" spans="1:10" ht="15.75" customHeight="1" x14ac:dyDescent="0.25">
      <c r="A158" s="141"/>
      <c r="D158" s="142"/>
      <c r="E158" s="142"/>
      <c r="F158" s="142"/>
      <c r="H158" s="142"/>
      <c r="I158" s="142"/>
      <c r="J158" s="142"/>
    </row>
    <row r="159" spans="1:10" ht="15.75" customHeight="1" x14ac:dyDescent="0.25">
      <c r="A159" s="141"/>
      <c r="D159" s="142"/>
      <c r="E159" s="142"/>
      <c r="F159" s="142"/>
      <c r="H159" s="142"/>
      <c r="I159" s="142"/>
      <c r="J159" s="142"/>
    </row>
    <row r="160" spans="1:10" ht="15.75" customHeight="1" x14ac:dyDescent="0.25">
      <c r="A160" s="141"/>
      <c r="D160" s="142"/>
      <c r="E160" s="142"/>
      <c r="F160" s="142"/>
      <c r="H160" s="142"/>
      <c r="I160" s="142"/>
      <c r="J160" s="142"/>
    </row>
    <row r="161" spans="1:10" ht="15.75" customHeight="1" x14ac:dyDescent="0.25">
      <c r="A161" s="141"/>
      <c r="D161" s="142"/>
      <c r="E161" s="142"/>
      <c r="F161" s="142"/>
      <c r="H161" s="142"/>
      <c r="I161" s="142"/>
      <c r="J161" s="142"/>
    </row>
    <row r="162" spans="1:10" ht="15.75" customHeight="1" x14ac:dyDescent="0.25">
      <c r="A162" s="141"/>
      <c r="D162" s="142"/>
      <c r="E162" s="142"/>
      <c r="F162" s="142"/>
      <c r="H162" s="142"/>
      <c r="I162" s="142"/>
      <c r="J162" s="142"/>
    </row>
    <row r="163" spans="1:10" ht="15.75" customHeight="1" x14ac:dyDescent="0.25">
      <c r="A163" s="141"/>
      <c r="D163" s="142"/>
      <c r="E163" s="142"/>
      <c r="F163" s="142"/>
      <c r="H163" s="142"/>
      <c r="I163" s="142"/>
      <c r="J163" s="142"/>
    </row>
    <row r="164" spans="1:10" ht="15.75" customHeight="1" x14ac:dyDescent="0.25">
      <c r="A164" s="141"/>
      <c r="D164" s="142"/>
      <c r="E164" s="142"/>
      <c r="F164" s="142"/>
      <c r="H164" s="142"/>
      <c r="I164" s="142"/>
      <c r="J164" s="142"/>
    </row>
    <row r="165" spans="1:10" ht="15.75" customHeight="1" x14ac:dyDescent="0.25">
      <c r="A165" s="141"/>
      <c r="D165" s="142"/>
      <c r="E165" s="142"/>
      <c r="F165" s="142"/>
      <c r="H165" s="142"/>
      <c r="I165" s="142"/>
      <c r="J165" s="142"/>
    </row>
    <row r="166" spans="1:10" ht="15.75" customHeight="1" x14ac:dyDescent="0.25">
      <c r="A166" s="141"/>
      <c r="D166" s="142"/>
      <c r="E166" s="142"/>
      <c r="F166" s="142"/>
      <c r="H166" s="142"/>
      <c r="I166" s="142"/>
      <c r="J166" s="142"/>
    </row>
    <row r="167" spans="1:10" ht="15.75" customHeight="1" x14ac:dyDescent="0.25">
      <c r="A167" s="141"/>
      <c r="D167" s="142"/>
      <c r="E167" s="142"/>
      <c r="F167" s="142"/>
      <c r="H167" s="142"/>
      <c r="I167" s="142"/>
      <c r="J167" s="142"/>
    </row>
    <row r="168" spans="1:10" ht="15.75" customHeight="1" x14ac:dyDescent="0.25">
      <c r="A168" s="141"/>
      <c r="D168" s="142"/>
      <c r="E168" s="142"/>
      <c r="F168" s="142"/>
      <c r="H168" s="142"/>
      <c r="I168" s="142"/>
      <c r="J168" s="142"/>
    </row>
    <row r="169" spans="1:10" ht="15.75" customHeight="1" x14ac:dyDescent="0.25">
      <c r="A169" s="141"/>
      <c r="D169" s="142"/>
      <c r="E169" s="142"/>
      <c r="F169" s="142"/>
      <c r="H169" s="142"/>
      <c r="I169" s="142"/>
      <c r="J169" s="142"/>
    </row>
    <row r="170" spans="1:10" ht="15.75" customHeight="1" x14ac:dyDescent="0.25">
      <c r="A170" s="141"/>
      <c r="D170" s="142"/>
      <c r="E170" s="142"/>
      <c r="F170" s="142"/>
      <c r="H170" s="142"/>
      <c r="I170" s="142"/>
      <c r="J170" s="142"/>
    </row>
    <row r="171" spans="1:10" ht="15.75" customHeight="1" x14ac:dyDescent="0.25">
      <c r="A171" s="141"/>
      <c r="D171" s="142"/>
      <c r="E171" s="142"/>
      <c r="F171" s="142"/>
      <c r="H171" s="142"/>
      <c r="I171" s="142"/>
      <c r="J171" s="142"/>
    </row>
    <row r="172" spans="1:10" ht="15.75" customHeight="1" x14ac:dyDescent="0.25">
      <c r="A172" s="141"/>
      <c r="D172" s="142"/>
      <c r="E172" s="142"/>
      <c r="F172" s="142"/>
      <c r="H172" s="142"/>
      <c r="I172" s="142"/>
      <c r="J172" s="142"/>
    </row>
    <row r="173" spans="1:10" ht="15.75" customHeight="1" x14ac:dyDescent="0.25">
      <c r="A173" s="141"/>
      <c r="D173" s="142"/>
      <c r="E173" s="142"/>
      <c r="F173" s="142"/>
      <c r="H173" s="142"/>
      <c r="I173" s="142"/>
      <c r="J173" s="142"/>
    </row>
    <row r="174" spans="1:10" ht="15.75" customHeight="1" x14ac:dyDescent="0.25">
      <c r="A174" s="141"/>
      <c r="D174" s="142"/>
      <c r="E174" s="142"/>
      <c r="F174" s="142"/>
      <c r="H174" s="142"/>
      <c r="I174" s="142"/>
      <c r="J174" s="142"/>
    </row>
    <row r="175" spans="1:10" ht="15.75" customHeight="1" x14ac:dyDescent="0.25">
      <c r="A175" s="141"/>
      <c r="D175" s="142"/>
      <c r="E175" s="142"/>
      <c r="F175" s="142"/>
      <c r="H175" s="142"/>
      <c r="I175" s="142"/>
      <c r="J175" s="142"/>
    </row>
    <row r="176" spans="1:10" ht="15.75" customHeight="1" x14ac:dyDescent="0.25">
      <c r="A176" s="141"/>
      <c r="D176" s="142"/>
      <c r="E176" s="142"/>
      <c r="F176" s="142"/>
      <c r="H176" s="142"/>
      <c r="I176" s="142"/>
      <c r="J176" s="142"/>
    </row>
    <row r="177" spans="1:10" ht="15.75" customHeight="1" x14ac:dyDescent="0.25">
      <c r="A177" s="141"/>
      <c r="D177" s="142"/>
      <c r="E177" s="142"/>
      <c r="F177" s="142"/>
      <c r="H177" s="142"/>
      <c r="I177" s="142"/>
      <c r="J177" s="142"/>
    </row>
    <row r="178" spans="1:10" ht="15.75" customHeight="1" x14ac:dyDescent="0.25">
      <c r="A178" s="141"/>
      <c r="D178" s="142"/>
      <c r="E178" s="142"/>
      <c r="F178" s="142"/>
      <c r="H178" s="142"/>
      <c r="I178" s="142"/>
      <c r="J178" s="142"/>
    </row>
    <row r="179" spans="1:10" ht="15.75" customHeight="1" x14ac:dyDescent="0.25">
      <c r="A179" s="141"/>
      <c r="D179" s="142"/>
      <c r="E179" s="142"/>
      <c r="F179" s="142"/>
      <c r="H179" s="142"/>
      <c r="I179" s="142"/>
      <c r="J179" s="142"/>
    </row>
    <row r="180" spans="1:10" ht="15.75" customHeight="1" x14ac:dyDescent="0.25">
      <c r="A180" s="141"/>
      <c r="D180" s="142"/>
      <c r="E180" s="142"/>
      <c r="F180" s="142"/>
      <c r="H180" s="142"/>
      <c r="I180" s="142"/>
      <c r="J180" s="142"/>
    </row>
    <row r="181" spans="1:10" ht="15.75" customHeight="1" x14ac:dyDescent="0.25">
      <c r="A181" s="141"/>
      <c r="D181" s="142"/>
      <c r="E181" s="142"/>
      <c r="F181" s="142"/>
      <c r="H181" s="142"/>
      <c r="I181" s="142"/>
      <c r="J181" s="142"/>
    </row>
    <row r="182" spans="1:10" ht="15.75" customHeight="1" x14ac:dyDescent="0.25">
      <c r="A182" s="141"/>
      <c r="D182" s="142"/>
      <c r="E182" s="142"/>
      <c r="F182" s="142"/>
      <c r="H182" s="142"/>
      <c r="I182" s="142"/>
      <c r="J182" s="142"/>
    </row>
    <row r="183" spans="1:10" ht="15.75" customHeight="1" x14ac:dyDescent="0.25">
      <c r="A183" s="141"/>
      <c r="D183" s="142"/>
      <c r="E183" s="142"/>
      <c r="F183" s="142"/>
      <c r="H183" s="142"/>
      <c r="I183" s="142"/>
      <c r="J183" s="142"/>
    </row>
    <row r="184" spans="1:10" ht="15.75" customHeight="1" x14ac:dyDescent="0.25">
      <c r="A184" s="141"/>
      <c r="D184" s="142"/>
      <c r="E184" s="142"/>
      <c r="F184" s="142"/>
      <c r="H184" s="142"/>
      <c r="I184" s="142"/>
      <c r="J184" s="142"/>
    </row>
    <row r="185" spans="1:10" ht="15.75" customHeight="1" x14ac:dyDescent="0.25">
      <c r="A185" s="141"/>
      <c r="D185" s="142"/>
      <c r="E185" s="142"/>
      <c r="F185" s="142"/>
      <c r="H185" s="142"/>
      <c r="I185" s="142"/>
      <c r="J185" s="142"/>
    </row>
    <row r="186" spans="1:10" ht="15.75" customHeight="1" x14ac:dyDescent="0.25">
      <c r="A186" s="141"/>
      <c r="D186" s="142"/>
      <c r="E186" s="142"/>
      <c r="F186" s="142"/>
      <c r="H186" s="142"/>
      <c r="I186" s="142"/>
      <c r="J186" s="142"/>
    </row>
    <row r="187" spans="1:10" ht="15.75" customHeight="1" x14ac:dyDescent="0.25">
      <c r="A187" s="141"/>
      <c r="D187" s="142"/>
      <c r="E187" s="142"/>
      <c r="F187" s="142"/>
      <c r="H187" s="142"/>
      <c r="I187" s="142"/>
      <c r="J187" s="142"/>
    </row>
    <row r="188" spans="1:10" ht="15.75" customHeight="1" x14ac:dyDescent="0.25">
      <c r="A188" s="141"/>
      <c r="D188" s="142"/>
      <c r="E188" s="142"/>
      <c r="F188" s="142"/>
      <c r="H188" s="142"/>
      <c r="I188" s="142"/>
      <c r="J188" s="142"/>
    </row>
    <row r="189" spans="1:10" ht="15.75" customHeight="1" x14ac:dyDescent="0.25">
      <c r="A189" s="141"/>
      <c r="D189" s="142"/>
      <c r="E189" s="142"/>
      <c r="F189" s="142"/>
      <c r="H189" s="142"/>
      <c r="I189" s="142"/>
      <c r="J189" s="142"/>
    </row>
    <row r="190" spans="1:10" ht="15.75" customHeight="1" x14ac:dyDescent="0.25">
      <c r="A190" s="141"/>
      <c r="D190" s="142"/>
      <c r="E190" s="142"/>
      <c r="F190" s="142"/>
      <c r="H190" s="142"/>
      <c r="I190" s="142"/>
      <c r="J190" s="142"/>
    </row>
    <row r="191" spans="1:10" ht="15.75" customHeight="1" x14ac:dyDescent="0.25">
      <c r="A191" s="141"/>
      <c r="D191" s="142"/>
      <c r="E191" s="142"/>
      <c r="F191" s="142"/>
      <c r="H191" s="142"/>
      <c r="I191" s="142"/>
      <c r="J191" s="142"/>
    </row>
    <row r="192" spans="1:10" ht="15.75" customHeight="1" x14ac:dyDescent="0.25">
      <c r="A192" s="141"/>
      <c r="D192" s="142"/>
      <c r="E192" s="142"/>
      <c r="F192" s="142"/>
      <c r="H192" s="142"/>
      <c r="I192" s="142"/>
      <c r="J192" s="142"/>
    </row>
    <row r="193" spans="1:10" ht="15.75" customHeight="1" x14ac:dyDescent="0.25">
      <c r="A193" s="141"/>
      <c r="D193" s="142"/>
      <c r="E193" s="142"/>
      <c r="F193" s="142"/>
      <c r="H193" s="142"/>
      <c r="I193" s="142"/>
      <c r="J193" s="142"/>
    </row>
    <row r="194" spans="1:10" ht="15.75" customHeight="1" x14ac:dyDescent="0.25">
      <c r="A194" s="141"/>
      <c r="D194" s="142"/>
      <c r="E194" s="142"/>
      <c r="F194" s="142"/>
      <c r="H194" s="142"/>
      <c r="I194" s="142"/>
      <c r="J194" s="142"/>
    </row>
    <row r="195" spans="1:10" ht="15.75" customHeight="1" x14ac:dyDescent="0.25">
      <c r="A195" s="141"/>
      <c r="D195" s="142"/>
      <c r="E195" s="142"/>
      <c r="F195" s="142"/>
      <c r="H195" s="142"/>
      <c r="I195" s="142"/>
      <c r="J195" s="142"/>
    </row>
    <row r="196" spans="1:10" ht="15.75" customHeight="1" x14ac:dyDescent="0.25">
      <c r="A196" s="141"/>
      <c r="D196" s="142"/>
      <c r="E196" s="142"/>
      <c r="F196" s="142"/>
      <c r="H196" s="142"/>
      <c r="I196" s="142"/>
      <c r="J196" s="142"/>
    </row>
    <row r="197" spans="1:10" ht="15.75" customHeight="1" x14ac:dyDescent="0.25">
      <c r="A197" s="141"/>
      <c r="D197" s="142"/>
      <c r="E197" s="142"/>
      <c r="F197" s="142"/>
      <c r="H197" s="142"/>
      <c r="I197" s="142"/>
      <c r="J197" s="142"/>
    </row>
    <row r="198" spans="1:10" ht="15.75" customHeight="1" x14ac:dyDescent="0.25">
      <c r="A198" s="141"/>
      <c r="D198" s="142"/>
      <c r="E198" s="142"/>
      <c r="F198" s="142"/>
      <c r="H198" s="142"/>
      <c r="I198" s="142"/>
      <c r="J198" s="142"/>
    </row>
    <row r="199" spans="1:10" ht="15.75" customHeight="1" x14ac:dyDescent="0.25">
      <c r="A199" s="141"/>
      <c r="D199" s="142"/>
      <c r="E199" s="142"/>
      <c r="F199" s="142"/>
      <c r="H199" s="142"/>
      <c r="I199" s="142"/>
      <c r="J199" s="142"/>
    </row>
    <row r="200" spans="1:10" ht="15.75" customHeight="1" x14ac:dyDescent="0.25">
      <c r="A200" s="141"/>
      <c r="D200" s="142"/>
      <c r="E200" s="142"/>
      <c r="F200" s="142"/>
      <c r="H200" s="142"/>
      <c r="I200" s="142"/>
      <c r="J200" s="142"/>
    </row>
    <row r="201" spans="1:10" ht="15.75" customHeight="1" x14ac:dyDescent="0.25">
      <c r="A201" s="141"/>
      <c r="D201" s="142"/>
      <c r="E201" s="142"/>
      <c r="F201" s="142"/>
      <c r="H201" s="142"/>
      <c r="I201" s="142"/>
      <c r="J201" s="142"/>
    </row>
    <row r="202" spans="1:10" ht="15.75" customHeight="1" x14ac:dyDescent="0.25">
      <c r="A202" s="141"/>
      <c r="D202" s="142"/>
      <c r="E202" s="142"/>
      <c r="F202" s="142"/>
      <c r="H202" s="142"/>
      <c r="I202" s="142"/>
      <c r="J202" s="142"/>
    </row>
    <row r="203" spans="1:10" ht="15.75" customHeight="1" x14ac:dyDescent="0.25">
      <c r="A203" s="141"/>
      <c r="D203" s="142"/>
      <c r="E203" s="142"/>
      <c r="F203" s="142"/>
      <c r="H203" s="142"/>
      <c r="I203" s="142"/>
      <c r="J203" s="142"/>
    </row>
    <row r="204" spans="1:10" ht="15.75" customHeight="1" x14ac:dyDescent="0.25">
      <c r="A204" s="141"/>
      <c r="D204" s="142"/>
      <c r="E204" s="142"/>
      <c r="F204" s="142"/>
      <c r="H204" s="142"/>
      <c r="I204" s="142"/>
      <c r="J204" s="142"/>
    </row>
    <row r="205" spans="1:10" ht="15.75" customHeight="1" x14ac:dyDescent="0.25">
      <c r="A205" s="141"/>
      <c r="D205" s="142"/>
      <c r="E205" s="142"/>
      <c r="F205" s="142"/>
      <c r="H205" s="142"/>
      <c r="I205" s="142"/>
      <c r="J205" s="142"/>
    </row>
    <row r="206" spans="1:10" ht="15.75" customHeight="1" x14ac:dyDescent="0.25">
      <c r="A206" s="141"/>
      <c r="D206" s="142"/>
      <c r="E206" s="142"/>
      <c r="F206" s="142"/>
      <c r="H206" s="142"/>
      <c r="I206" s="142"/>
      <c r="J206" s="142"/>
    </row>
    <row r="207" spans="1:10" ht="15.75" customHeight="1" x14ac:dyDescent="0.25">
      <c r="A207" s="141"/>
      <c r="D207" s="142"/>
      <c r="E207" s="142"/>
      <c r="F207" s="142"/>
      <c r="H207" s="142"/>
      <c r="I207" s="142"/>
      <c r="J207" s="142"/>
    </row>
    <row r="208" spans="1:10" ht="15.75" customHeight="1" x14ac:dyDescent="0.25">
      <c r="A208" s="141"/>
      <c r="D208" s="142"/>
      <c r="E208" s="142"/>
      <c r="F208" s="142"/>
      <c r="H208" s="142"/>
      <c r="I208" s="142"/>
      <c r="J208" s="142"/>
    </row>
    <row r="209" spans="1:10" ht="15.75" customHeight="1" x14ac:dyDescent="0.25">
      <c r="A209" s="141"/>
      <c r="D209" s="142"/>
      <c r="E209" s="142"/>
      <c r="F209" s="142"/>
      <c r="H209" s="142"/>
      <c r="I209" s="142"/>
      <c r="J209" s="142"/>
    </row>
    <row r="210" spans="1:10" ht="15.75" customHeight="1" x14ac:dyDescent="0.25">
      <c r="A210" s="141"/>
      <c r="D210" s="142"/>
      <c r="E210" s="142"/>
      <c r="F210" s="142"/>
      <c r="H210" s="142"/>
      <c r="I210" s="142"/>
      <c r="J210" s="142"/>
    </row>
    <row r="211" spans="1:10" ht="15.75" customHeight="1" x14ac:dyDescent="0.25">
      <c r="A211" s="141"/>
      <c r="D211" s="142"/>
      <c r="E211" s="142"/>
      <c r="F211" s="142"/>
      <c r="H211" s="142"/>
      <c r="I211" s="142"/>
      <c r="J211" s="142"/>
    </row>
    <row r="212" spans="1:10" ht="15.75" customHeight="1" x14ac:dyDescent="0.25">
      <c r="A212" s="141"/>
      <c r="D212" s="142"/>
      <c r="E212" s="142"/>
      <c r="F212" s="142"/>
      <c r="H212" s="142"/>
      <c r="I212" s="142"/>
      <c r="J212" s="142"/>
    </row>
    <row r="213" spans="1:10" ht="15.75" customHeight="1" x14ac:dyDescent="0.25">
      <c r="A213" s="141"/>
      <c r="D213" s="142"/>
      <c r="E213" s="142"/>
      <c r="F213" s="142"/>
      <c r="H213" s="142"/>
      <c r="I213" s="142"/>
      <c r="J213" s="142"/>
    </row>
    <row r="214" spans="1:10" ht="15.75" customHeight="1" x14ac:dyDescent="0.25">
      <c r="A214" s="141"/>
      <c r="D214" s="142"/>
      <c r="E214" s="142"/>
      <c r="F214" s="142"/>
      <c r="H214" s="142"/>
      <c r="I214" s="142"/>
      <c r="J214" s="142"/>
    </row>
    <row r="215" spans="1:10" ht="15.75" customHeight="1" x14ac:dyDescent="0.25">
      <c r="A215" s="141"/>
      <c r="D215" s="142"/>
      <c r="E215" s="142"/>
      <c r="F215" s="142"/>
      <c r="H215" s="142"/>
      <c r="I215" s="142"/>
      <c r="J215" s="142"/>
    </row>
    <row r="216" spans="1:10" ht="15.75" customHeight="1" x14ac:dyDescent="0.25">
      <c r="A216" s="141"/>
      <c r="D216" s="142"/>
      <c r="E216" s="142"/>
      <c r="F216" s="142"/>
      <c r="H216" s="142"/>
      <c r="I216" s="142"/>
      <c r="J216" s="142"/>
    </row>
    <row r="217" spans="1:10" ht="15.75" customHeight="1" x14ac:dyDescent="0.25">
      <c r="A217" s="141"/>
      <c r="D217" s="142"/>
      <c r="E217" s="142"/>
      <c r="F217" s="142"/>
      <c r="H217" s="142"/>
      <c r="I217" s="142"/>
      <c r="J217" s="142"/>
    </row>
    <row r="218" spans="1:10" ht="15.75" customHeight="1" x14ac:dyDescent="0.25">
      <c r="A218" s="141"/>
      <c r="D218" s="142"/>
      <c r="E218" s="142"/>
      <c r="F218" s="142"/>
      <c r="H218" s="142"/>
      <c r="I218" s="142"/>
      <c r="J218" s="142"/>
    </row>
    <row r="219" spans="1:10" ht="15.75" customHeight="1" x14ac:dyDescent="0.25">
      <c r="A219" s="141"/>
      <c r="D219" s="142"/>
      <c r="E219" s="142"/>
      <c r="F219" s="142"/>
      <c r="H219" s="142"/>
      <c r="I219" s="142"/>
      <c r="J219" s="142"/>
    </row>
    <row r="220" spans="1:10" ht="15.75" customHeight="1" x14ac:dyDescent="0.25">
      <c r="A220" s="141"/>
      <c r="D220" s="142"/>
      <c r="E220" s="142"/>
      <c r="F220" s="142"/>
      <c r="H220" s="142"/>
      <c r="I220" s="142"/>
      <c r="J220" s="142"/>
    </row>
    <row r="221" spans="1:10" ht="15.75" customHeight="1" x14ac:dyDescent="0.25">
      <c r="A221" s="141"/>
      <c r="D221" s="142"/>
      <c r="E221" s="142"/>
      <c r="F221" s="142"/>
      <c r="H221" s="142"/>
      <c r="I221" s="142"/>
      <c r="J221" s="142"/>
    </row>
    <row r="222" spans="1:10" ht="15.75" customHeight="1" x14ac:dyDescent="0.25">
      <c r="A222" s="141"/>
      <c r="D222" s="142"/>
      <c r="E222" s="142"/>
      <c r="F222" s="142"/>
      <c r="H222" s="142"/>
      <c r="I222" s="142"/>
      <c r="J222" s="142"/>
    </row>
    <row r="223" spans="1:10" ht="15.75" customHeight="1" x14ac:dyDescent="0.25">
      <c r="A223" s="141"/>
      <c r="D223" s="142"/>
      <c r="E223" s="142"/>
      <c r="F223" s="142"/>
      <c r="H223" s="142"/>
      <c r="I223" s="142"/>
      <c r="J223" s="142"/>
    </row>
    <row r="224" spans="1:10" ht="15.75" customHeight="1" x14ac:dyDescent="0.25">
      <c r="A224" s="141"/>
      <c r="D224" s="142"/>
      <c r="E224" s="142"/>
      <c r="F224" s="142"/>
      <c r="H224" s="142"/>
      <c r="I224" s="142"/>
      <c r="J224" s="142"/>
    </row>
    <row r="225" spans="1:10" ht="15.75" customHeight="1" x14ac:dyDescent="0.25">
      <c r="A225" s="141"/>
      <c r="D225" s="142"/>
      <c r="E225" s="142"/>
      <c r="F225" s="142"/>
      <c r="H225" s="142"/>
      <c r="I225" s="142"/>
      <c r="J225" s="142"/>
    </row>
    <row r="226" spans="1:10" ht="15.75" customHeight="1" x14ac:dyDescent="0.25">
      <c r="A226" s="141"/>
      <c r="D226" s="142"/>
      <c r="E226" s="142"/>
      <c r="F226" s="142"/>
      <c r="H226" s="142"/>
      <c r="I226" s="142"/>
      <c r="J226" s="142"/>
    </row>
    <row r="227" spans="1:10" ht="15.75" customHeight="1" x14ac:dyDescent="0.25">
      <c r="A227" s="141"/>
      <c r="D227" s="142"/>
      <c r="E227" s="142"/>
      <c r="F227" s="142"/>
      <c r="H227" s="142"/>
      <c r="I227" s="142"/>
      <c r="J227" s="142"/>
    </row>
    <row r="228" spans="1:10" ht="15.75" customHeight="1" x14ac:dyDescent="0.25">
      <c r="A228" s="141"/>
      <c r="D228" s="142"/>
      <c r="E228" s="142"/>
      <c r="F228" s="142"/>
      <c r="H228" s="142"/>
      <c r="I228" s="142"/>
      <c r="J228" s="142"/>
    </row>
    <row r="229" spans="1:10" ht="15.75" customHeight="1" x14ac:dyDescent="0.25">
      <c r="A229" s="141"/>
      <c r="D229" s="142"/>
      <c r="E229" s="142"/>
      <c r="F229" s="142"/>
      <c r="H229" s="142"/>
      <c r="I229" s="142"/>
      <c r="J229" s="142"/>
    </row>
    <row r="230" spans="1:10" ht="15.75" customHeight="1" x14ac:dyDescent="0.25">
      <c r="A230" s="141"/>
      <c r="D230" s="142"/>
      <c r="E230" s="142"/>
      <c r="F230" s="142"/>
      <c r="H230" s="142"/>
      <c r="I230" s="142"/>
      <c r="J230" s="142"/>
    </row>
    <row r="231" spans="1:10" ht="15.75" customHeight="1" x14ac:dyDescent="0.25">
      <c r="A231" s="141"/>
      <c r="D231" s="142"/>
      <c r="E231" s="142"/>
      <c r="F231" s="142"/>
      <c r="H231" s="142"/>
      <c r="I231" s="142"/>
      <c r="J231" s="142"/>
    </row>
    <row r="232" spans="1:10" ht="15.75" customHeight="1" x14ac:dyDescent="0.25">
      <c r="A232" s="141"/>
      <c r="D232" s="142"/>
      <c r="E232" s="142"/>
      <c r="F232" s="142"/>
      <c r="H232" s="142"/>
      <c r="I232" s="142"/>
      <c r="J232" s="142"/>
    </row>
    <row r="233" spans="1:10" ht="15.75" customHeight="1" x14ac:dyDescent="0.25">
      <c r="A233" s="141"/>
      <c r="D233" s="142"/>
      <c r="E233" s="142"/>
      <c r="F233" s="142"/>
      <c r="H233" s="142"/>
      <c r="I233" s="142"/>
      <c r="J233" s="142"/>
    </row>
    <row r="234" spans="1:10" ht="15.75" customHeight="1" x14ac:dyDescent="0.25">
      <c r="A234" s="141"/>
      <c r="D234" s="142"/>
      <c r="E234" s="142"/>
      <c r="F234" s="142"/>
      <c r="H234" s="142"/>
      <c r="I234" s="142"/>
      <c r="J234" s="142"/>
    </row>
    <row r="235" spans="1:10" ht="15.75" customHeight="1" x14ac:dyDescent="0.25">
      <c r="A235" s="141"/>
      <c r="D235" s="142"/>
      <c r="E235" s="142"/>
      <c r="F235" s="142"/>
      <c r="H235" s="142"/>
      <c r="I235" s="142"/>
      <c r="J235" s="142"/>
    </row>
    <row r="236" spans="1:10" ht="15.75" customHeight="1" x14ac:dyDescent="0.25">
      <c r="A236" s="141"/>
      <c r="D236" s="142"/>
      <c r="E236" s="142"/>
      <c r="F236" s="142"/>
      <c r="H236" s="142"/>
      <c r="I236" s="142"/>
      <c r="J236" s="142"/>
    </row>
    <row r="237" spans="1:10" ht="15.75" customHeight="1" x14ac:dyDescent="0.25">
      <c r="A237" s="141"/>
      <c r="D237" s="142"/>
      <c r="E237" s="142"/>
      <c r="F237" s="142"/>
      <c r="H237" s="142"/>
      <c r="I237" s="142"/>
      <c r="J237" s="142"/>
    </row>
    <row r="238" spans="1:10" ht="15.75" customHeight="1" x14ac:dyDescent="0.25">
      <c r="A238" s="141"/>
      <c r="D238" s="142"/>
      <c r="E238" s="142"/>
      <c r="F238" s="142"/>
      <c r="H238" s="142"/>
      <c r="I238" s="142"/>
      <c r="J238" s="142"/>
    </row>
    <row r="239" spans="1:10" ht="15.75" customHeight="1" x14ac:dyDescent="0.25">
      <c r="A239" s="141"/>
      <c r="D239" s="142"/>
      <c r="E239" s="142"/>
      <c r="F239" s="142"/>
      <c r="H239" s="142"/>
      <c r="I239" s="142"/>
      <c r="J239" s="142"/>
    </row>
    <row r="240" spans="1:10" ht="15.75" customHeight="1" x14ac:dyDescent="0.25">
      <c r="A240" s="141"/>
      <c r="D240" s="142"/>
      <c r="E240" s="142"/>
      <c r="F240" s="142"/>
      <c r="H240" s="142"/>
      <c r="I240" s="142"/>
      <c r="J240" s="142"/>
    </row>
    <row r="241" spans="1:10" ht="15.75" customHeight="1" x14ac:dyDescent="0.25">
      <c r="A241" s="141"/>
      <c r="D241" s="142"/>
      <c r="E241" s="142"/>
      <c r="F241" s="142"/>
      <c r="H241" s="142"/>
      <c r="I241" s="142"/>
      <c r="J241" s="142"/>
    </row>
    <row r="242" spans="1:10" ht="15.75" customHeight="1" x14ac:dyDescent="0.25">
      <c r="A242" s="141"/>
      <c r="D242" s="142"/>
      <c r="E242" s="142"/>
      <c r="F242" s="142"/>
      <c r="H242" s="142"/>
      <c r="I242" s="142"/>
      <c r="J242" s="142"/>
    </row>
    <row r="243" spans="1:10" ht="15.75" customHeight="1" x14ac:dyDescent="0.25">
      <c r="A243" s="141"/>
      <c r="D243" s="142"/>
      <c r="E243" s="142"/>
      <c r="F243" s="142"/>
      <c r="H243" s="142"/>
      <c r="I243" s="142"/>
      <c r="J243" s="142"/>
    </row>
    <row r="244" spans="1:10" ht="15.75" customHeight="1" x14ac:dyDescent="0.25">
      <c r="A244" s="141"/>
      <c r="D244" s="142"/>
      <c r="E244" s="142"/>
      <c r="F244" s="142"/>
      <c r="H244" s="142"/>
      <c r="I244" s="142"/>
      <c r="J244" s="142"/>
    </row>
    <row r="245" spans="1:10" ht="15.75" customHeight="1" x14ac:dyDescent="0.25">
      <c r="A245" s="141"/>
      <c r="D245" s="142"/>
      <c r="E245" s="142"/>
      <c r="F245" s="142"/>
      <c r="H245" s="142"/>
      <c r="I245" s="142"/>
      <c r="J245" s="142"/>
    </row>
    <row r="246" spans="1:10" ht="15.75" customHeight="1" x14ac:dyDescent="0.25">
      <c r="A246" s="141"/>
      <c r="D246" s="142"/>
      <c r="E246" s="142"/>
      <c r="F246" s="142"/>
      <c r="H246" s="142"/>
      <c r="I246" s="142"/>
      <c r="J246" s="142"/>
    </row>
    <row r="247" spans="1:10" ht="15.75" customHeight="1" x14ac:dyDescent="0.25">
      <c r="A247" s="141"/>
      <c r="D247" s="142"/>
      <c r="E247" s="142"/>
      <c r="F247" s="142"/>
      <c r="H247" s="142"/>
      <c r="I247" s="142"/>
      <c r="J247" s="142"/>
    </row>
    <row r="248" spans="1:10" ht="15.75" customHeight="1" x14ac:dyDescent="0.25">
      <c r="A248" s="141"/>
      <c r="D248" s="142"/>
      <c r="E248" s="142"/>
      <c r="F248" s="142"/>
      <c r="H248" s="142"/>
      <c r="I248" s="142"/>
      <c r="J248" s="142"/>
    </row>
    <row r="249" spans="1:10" ht="15.75" customHeight="1" x14ac:dyDescent="0.25">
      <c r="A249" s="141"/>
      <c r="D249" s="142"/>
      <c r="E249" s="142"/>
      <c r="F249" s="142"/>
      <c r="H249" s="142"/>
      <c r="I249" s="142"/>
      <c r="J249" s="142"/>
    </row>
    <row r="250" spans="1:10" ht="15.75" customHeight="1" x14ac:dyDescent="0.25">
      <c r="A250" s="141"/>
      <c r="D250" s="142"/>
      <c r="E250" s="142"/>
      <c r="F250" s="142"/>
      <c r="H250" s="142"/>
      <c r="I250" s="142"/>
      <c r="J250" s="142"/>
    </row>
    <row r="251" spans="1:10" ht="15.75" customHeight="1" x14ac:dyDescent="0.25">
      <c r="A251" s="141"/>
      <c r="D251" s="142"/>
      <c r="E251" s="142"/>
      <c r="F251" s="142"/>
      <c r="H251" s="142"/>
      <c r="I251" s="142"/>
      <c r="J251" s="142"/>
    </row>
    <row r="252" spans="1:10" ht="15.75" customHeight="1" x14ac:dyDescent="0.25">
      <c r="A252" s="141"/>
      <c r="D252" s="142"/>
      <c r="E252" s="142"/>
      <c r="F252" s="142"/>
      <c r="H252" s="142"/>
      <c r="I252" s="142"/>
      <c r="J252" s="142"/>
    </row>
    <row r="253" spans="1:10" ht="15.75" customHeight="1" x14ac:dyDescent="0.25">
      <c r="A253" s="141"/>
      <c r="D253" s="142"/>
      <c r="E253" s="142"/>
      <c r="F253" s="142"/>
      <c r="H253" s="142"/>
      <c r="I253" s="142"/>
      <c r="J253" s="142"/>
    </row>
    <row r="254" spans="1:10" ht="15.75" customHeight="1" x14ac:dyDescent="0.25">
      <c r="A254" s="141"/>
      <c r="D254" s="142"/>
      <c r="E254" s="142"/>
      <c r="F254" s="142"/>
      <c r="H254" s="142"/>
      <c r="I254" s="142"/>
      <c r="J254" s="142"/>
    </row>
    <row r="255" spans="1:10" ht="15.75" customHeight="1" x14ac:dyDescent="0.25">
      <c r="A255" s="141"/>
      <c r="D255" s="142"/>
      <c r="E255" s="142"/>
      <c r="F255" s="142"/>
      <c r="H255" s="142"/>
      <c r="I255" s="142"/>
      <c r="J255" s="142"/>
    </row>
    <row r="256" spans="1:10" ht="15.75" customHeight="1" x14ac:dyDescent="0.25">
      <c r="A256" s="141"/>
      <c r="D256" s="142"/>
      <c r="E256" s="142"/>
      <c r="F256" s="142"/>
      <c r="H256" s="142"/>
      <c r="I256" s="142"/>
      <c r="J256" s="142"/>
    </row>
    <row r="257" spans="1:10" ht="15.75" customHeight="1" x14ac:dyDescent="0.25">
      <c r="A257" s="141"/>
      <c r="D257" s="142"/>
      <c r="E257" s="142"/>
      <c r="F257" s="142"/>
      <c r="H257" s="142"/>
      <c r="I257" s="142"/>
      <c r="J257" s="142"/>
    </row>
    <row r="258" spans="1:10" ht="15.75" customHeight="1" x14ac:dyDescent="0.25">
      <c r="A258" s="141"/>
      <c r="D258" s="142"/>
      <c r="E258" s="142"/>
      <c r="F258" s="142"/>
      <c r="H258" s="142"/>
      <c r="I258" s="142"/>
      <c r="J258" s="142"/>
    </row>
    <row r="259" spans="1:10" ht="15.75" customHeight="1" x14ac:dyDescent="0.25">
      <c r="A259" s="141"/>
      <c r="D259" s="142"/>
      <c r="E259" s="142"/>
      <c r="F259" s="142"/>
      <c r="H259" s="142"/>
      <c r="I259" s="142"/>
      <c r="J259" s="142"/>
    </row>
    <row r="260" spans="1:10" ht="15.75" customHeight="1" x14ac:dyDescent="0.25">
      <c r="A260" s="141"/>
      <c r="D260" s="142"/>
      <c r="E260" s="142"/>
      <c r="F260" s="142"/>
      <c r="H260" s="142"/>
      <c r="I260" s="142"/>
      <c r="J260" s="142"/>
    </row>
    <row r="261" spans="1:10" ht="15.75" customHeight="1" x14ac:dyDescent="0.25">
      <c r="A261" s="141"/>
      <c r="D261" s="142"/>
      <c r="E261" s="142"/>
      <c r="F261" s="142"/>
      <c r="H261" s="142"/>
      <c r="I261" s="142"/>
      <c r="J261" s="142"/>
    </row>
    <row r="262" spans="1:10" ht="15.75" customHeight="1" x14ac:dyDescent="0.25">
      <c r="A262" s="141"/>
      <c r="D262" s="142"/>
      <c r="E262" s="142"/>
      <c r="F262" s="142"/>
      <c r="H262" s="142"/>
      <c r="I262" s="142"/>
      <c r="J262" s="142"/>
    </row>
    <row r="263" spans="1:10" ht="15.75" customHeight="1" x14ac:dyDescent="0.25">
      <c r="A263" s="141"/>
      <c r="D263" s="142"/>
      <c r="E263" s="142"/>
      <c r="F263" s="142"/>
      <c r="H263" s="142"/>
      <c r="I263" s="142"/>
      <c r="J263" s="142"/>
    </row>
    <row r="264" spans="1:10" ht="15.75" customHeight="1" x14ac:dyDescent="0.25">
      <c r="A264" s="141"/>
      <c r="D264" s="142"/>
      <c r="E264" s="142"/>
      <c r="F264" s="142"/>
      <c r="H264" s="142"/>
      <c r="I264" s="142"/>
      <c r="J264" s="142"/>
    </row>
    <row r="265" spans="1:10" ht="15.75" customHeight="1" x14ac:dyDescent="0.25">
      <c r="A265" s="141"/>
      <c r="D265" s="142"/>
      <c r="E265" s="142"/>
      <c r="F265" s="142"/>
      <c r="H265" s="142"/>
      <c r="I265" s="142"/>
      <c r="J265" s="142"/>
    </row>
    <row r="266" spans="1:10" ht="15.75" customHeight="1" x14ac:dyDescent="0.25">
      <c r="A266" s="141"/>
      <c r="D266" s="142"/>
      <c r="E266" s="142"/>
      <c r="F266" s="142"/>
      <c r="H266" s="142"/>
      <c r="I266" s="142"/>
      <c r="J266" s="142"/>
    </row>
    <row r="267" spans="1:10" ht="15.75" customHeight="1" x14ac:dyDescent="0.25">
      <c r="A267" s="141"/>
      <c r="D267" s="142"/>
      <c r="E267" s="142"/>
      <c r="F267" s="142"/>
      <c r="H267" s="142"/>
      <c r="I267" s="142"/>
      <c r="J267" s="142"/>
    </row>
    <row r="268" spans="1:10" ht="15.75" customHeight="1" x14ac:dyDescent="0.25">
      <c r="A268" s="141"/>
      <c r="D268" s="142"/>
      <c r="E268" s="142"/>
      <c r="F268" s="142"/>
      <c r="H268" s="142"/>
      <c r="I268" s="142"/>
      <c r="J268" s="142"/>
    </row>
    <row r="269" spans="1:10" ht="15.75" customHeight="1" x14ac:dyDescent="0.25">
      <c r="A269" s="141"/>
      <c r="D269" s="142"/>
      <c r="E269" s="142"/>
      <c r="F269" s="142"/>
      <c r="H269" s="142"/>
      <c r="I269" s="142"/>
      <c r="J269" s="142"/>
    </row>
    <row r="270" spans="1:10" ht="15.75" customHeight="1" x14ac:dyDescent="0.25">
      <c r="A270" s="141"/>
      <c r="D270" s="142"/>
      <c r="E270" s="142"/>
      <c r="F270" s="142"/>
      <c r="H270" s="142"/>
      <c r="I270" s="142"/>
      <c r="J270" s="142"/>
    </row>
    <row r="271" spans="1:10" ht="15.75" customHeight="1" x14ac:dyDescent="0.25">
      <c r="A271" s="141"/>
      <c r="D271" s="142"/>
      <c r="E271" s="142"/>
      <c r="F271" s="142"/>
      <c r="H271" s="142"/>
      <c r="I271" s="142"/>
      <c r="J271" s="142"/>
    </row>
    <row r="272" spans="1:10" ht="15.75" customHeight="1" x14ac:dyDescent="0.25">
      <c r="A272" s="141"/>
      <c r="D272" s="142"/>
      <c r="E272" s="142"/>
      <c r="F272" s="142"/>
      <c r="H272" s="142"/>
      <c r="I272" s="142"/>
      <c r="J272" s="142"/>
    </row>
    <row r="273" spans="1:10" ht="15.75" customHeight="1" x14ac:dyDescent="0.25">
      <c r="A273" s="141"/>
      <c r="D273" s="142"/>
      <c r="E273" s="142"/>
      <c r="F273" s="142"/>
      <c r="H273" s="142"/>
      <c r="I273" s="142"/>
      <c r="J273" s="142"/>
    </row>
    <row r="274" spans="1:10" ht="15.75" customHeight="1" x14ac:dyDescent="0.25">
      <c r="A274" s="141"/>
      <c r="D274" s="142"/>
      <c r="E274" s="142"/>
      <c r="F274" s="142"/>
      <c r="H274" s="142"/>
      <c r="I274" s="142"/>
      <c r="J274" s="142"/>
    </row>
    <row r="275" spans="1:10" ht="15.75" customHeight="1" x14ac:dyDescent="0.25">
      <c r="A275" s="141"/>
      <c r="D275" s="142"/>
      <c r="E275" s="142"/>
      <c r="F275" s="142"/>
      <c r="H275" s="142"/>
      <c r="I275" s="142"/>
      <c r="J275" s="142"/>
    </row>
    <row r="276" spans="1:10" ht="15.75" customHeight="1" x14ac:dyDescent="0.25">
      <c r="A276" s="141"/>
      <c r="D276" s="142"/>
      <c r="E276" s="142"/>
      <c r="F276" s="142"/>
      <c r="H276" s="142"/>
      <c r="I276" s="142"/>
      <c r="J276" s="142"/>
    </row>
    <row r="277" spans="1:10" ht="15.75" customHeight="1" x14ac:dyDescent="0.25">
      <c r="A277" s="141"/>
      <c r="D277" s="142"/>
      <c r="E277" s="142"/>
      <c r="F277" s="142"/>
      <c r="H277" s="142"/>
      <c r="I277" s="142"/>
      <c r="J277" s="142"/>
    </row>
    <row r="278" spans="1:10" ht="15.75" customHeight="1" x14ac:dyDescent="0.25">
      <c r="A278" s="141"/>
      <c r="D278" s="142"/>
      <c r="E278" s="142"/>
      <c r="F278" s="142"/>
      <c r="H278" s="142"/>
      <c r="I278" s="142"/>
      <c r="J278" s="142"/>
    </row>
    <row r="279" spans="1:10" ht="15.75" customHeight="1" x14ac:dyDescent="0.25">
      <c r="A279" s="141"/>
      <c r="D279" s="142"/>
      <c r="E279" s="142"/>
      <c r="F279" s="142"/>
      <c r="H279" s="142"/>
      <c r="I279" s="142"/>
      <c r="J279" s="142"/>
    </row>
    <row r="280" spans="1:10" ht="15.75" customHeight="1" x14ac:dyDescent="0.25">
      <c r="A280" s="141"/>
      <c r="D280" s="142"/>
      <c r="E280" s="142"/>
      <c r="F280" s="142"/>
      <c r="H280" s="142"/>
      <c r="I280" s="142"/>
      <c r="J280" s="142"/>
    </row>
    <row r="281" spans="1:10" ht="15.75" customHeight="1" x14ac:dyDescent="0.25">
      <c r="A281" s="141"/>
      <c r="D281" s="142"/>
      <c r="E281" s="142"/>
      <c r="F281" s="142"/>
      <c r="H281" s="142"/>
      <c r="I281" s="142"/>
      <c r="J281" s="142"/>
    </row>
    <row r="282" spans="1:10" ht="15.75" customHeight="1" x14ac:dyDescent="0.25">
      <c r="A282" s="141"/>
      <c r="D282" s="142"/>
      <c r="E282" s="142"/>
      <c r="F282" s="142"/>
      <c r="H282" s="142"/>
      <c r="I282" s="142"/>
      <c r="J282" s="142"/>
    </row>
    <row r="283" spans="1:10" ht="15.75" customHeight="1" x14ac:dyDescent="0.25">
      <c r="A283" s="141"/>
      <c r="D283" s="142"/>
      <c r="E283" s="142"/>
      <c r="F283" s="142"/>
      <c r="H283" s="142"/>
      <c r="I283" s="142"/>
      <c r="J283" s="142"/>
    </row>
    <row r="284" spans="1:10" ht="15.75" customHeight="1" x14ac:dyDescent="0.25">
      <c r="A284" s="141"/>
      <c r="D284" s="142"/>
      <c r="E284" s="142"/>
      <c r="F284" s="142"/>
      <c r="H284" s="142"/>
      <c r="I284" s="142"/>
      <c r="J284" s="142"/>
    </row>
    <row r="285" spans="1:10" ht="15.75" customHeight="1" x14ac:dyDescent="0.25">
      <c r="A285" s="141"/>
      <c r="D285" s="142"/>
      <c r="E285" s="142"/>
      <c r="F285" s="142"/>
      <c r="H285" s="142"/>
      <c r="I285" s="142"/>
      <c r="J285" s="142"/>
    </row>
    <row r="286" spans="1:10" ht="15.75" customHeight="1" x14ac:dyDescent="0.25">
      <c r="A286" s="141"/>
      <c r="D286" s="142"/>
      <c r="E286" s="142"/>
      <c r="F286" s="142"/>
      <c r="H286" s="142"/>
      <c r="I286" s="142"/>
      <c r="J286" s="142"/>
    </row>
    <row r="287" spans="1:10" ht="15.75" customHeight="1" x14ac:dyDescent="0.25">
      <c r="A287" s="141"/>
      <c r="D287" s="142"/>
      <c r="E287" s="142"/>
      <c r="F287" s="142"/>
      <c r="H287" s="142"/>
      <c r="I287" s="142"/>
      <c r="J287" s="142"/>
    </row>
    <row r="288" spans="1:10" ht="15.75" customHeight="1" x14ac:dyDescent="0.25">
      <c r="A288" s="141"/>
      <c r="D288" s="142"/>
      <c r="E288" s="142"/>
      <c r="F288" s="142"/>
      <c r="H288" s="142"/>
      <c r="I288" s="142"/>
      <c r="J288" s="142"/>
    </row>
    <row r="289" spans="1:10" ht="15.75" customHeight="1" x14ac:dyDescent="0.25">
      <c r="A289" s="141"/>
      <c r="D289" s="142"/>
      <c r="E289" s="142"/>
      <c r="F289" s="142"/>
      <c r="H289" s="142"/>
      <c r="I289" s="142"/>
      <c r="J289" s="142"/>
    </row>
    <row r="290" spans="1:10" ht="15.75" customHeight="1" x14ac:dyDescent="0.25">
      <c r="A290" s="141"/>
      <c r="D290" s="142"/>
      <c r="E290" s="142"/>
      <c r="F290" s="142"/>
      <c r="H290" s="142"/>
      <c r="I290" s="142"/>
      <c r="J290" s="142"/>
    </row>
    <row r="291" spans="1:10" ht="15.75" customHeight="1" x14ac:dyDescent="0.25">
      <c r="A291" s="141"/>
      <c r="D291" s="142"/>
      <c r="E291" s="142"/>
      <c r="F291" s="142"/>
      <c r="H291" s="142"/>
      <c r="I291" s="142"/>
      <c r="J291" s="142"/>
    </row>
    <row r="292" spans="1:10" ht="15.75" customHeight="1" x14ac:dyDescent="0.25">
      <c r="A292" s="141"/>
      <c r="D292" s="142"/>
      <c r="E292" s="142"/>
      <c r="F292" s="142"/>
      <c r="H292" s="142"/>
      <c r="I292" s="142"/>
      <c r="J292" s="142"/>
    </row>
    <row r="293" spans="1:10" ht="15.75" customHeight="1" x14ac:dyDescent="0.25">
      <c r="A293" s="141"/>
      <c r="D293" s="142"/>
      <c r="E293" s="142"/>
      <c r="F293" s="142"/>
      <c r="H293" s="142"/>
      <c r="I293" s="142"/>
      <c r="J293" s="142"/>
    </row>
    <row r="294" spans="1:10" ht="15.75" customHeight="1" x14ac:dyDescent="0.25">
      <c r="A294" s="141"/>
      <c r="D294" s="142"/>
      <c r="E294" s="142"/>
      <c r="F294" s="142"/>
      <c r="H294" s="142"/>
      <c r="I294" s="142"/>
      <c r="J294" s="142"/>
    </row>
    <row r="295" spans="1:10" ht="15.75" customHeight="1" x14ac:dyDescent="0.25">
      <c r="A295" s="141"/>
      <c r="D295" s="142"/>
      <c r="E295" s="142"/>
      <c r="F295" s="142"/>
      <c r="H295" s="142"/>
      <c r="I295" s="142"/>
      <c r="J295" s="142"/>
    </row>
    <row r="296" spans="1:10" ht="15.75" customHeight="1" x14ac:dyDescent="0.25">
      <c r="A296" s="141"/>
      <c r="D296" s="142"/>
      <c r="E296" s="142"/>
      <c r="F296" s="142"/>
      <c r="H296" s="142"/>
      <c r="I296" s="142"/>
      <c r="J296" s="142"/>
    </row>
    <row r="297" spans="1:10" ht="15.75" customHeight="1" x14ac:dyDescent="0.25">
      <c r="A297" s="141"/>
      <c r="D297" s="142"/>
      <c r="E297" s="142"/>
      <c r="F297" s="142"/>
      <c r="H297" s="142"/>
      <c r="I297" s="142"/>
      <c r="J297" s="142"/>
    </row>
    <row r="298" spans="1:10" ht="15.75" customHeight="1" x14ac:dyDescent="0.25"/>
    <row r="299" spans="1:10" ht="15.75" customHeight="1" x14ac:dyDescent="0.25"/>
    <row r="300" spans="1:10" ht="15.75" customHeight="1" x14ac:dyDescent="0.25"/>
    <row r="301" spans="1:10" ht="15.75" customHeight="1" x14ac:dyDescent="0.25"/>
    <row r="302" spans="1:10" ht="15.75" customHeight="1" x14ac:dyDescent="0.25"/>
    <row r="303" spans="1:10" ht="15.75" customHeight="1" x14ac:dyDescent="0.25"/>
    <row r="304" spans="1:10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70">
    <mergeCell ref="A4:A6"/>
    <mergeCell ref="B4:B6"/>
    <mergeCell ref="A1:A3"/>
    <mergeCell ref="B1:B3"/>
    <mergeCell ref="C1:F1"/>
    <mergeCell ref="G1:J1"/>
    <mergeCell ref="C2:C3"/>
    <mergeCell ref="D2:F2"/>
    <mergeCell ref="G2:G3"/>
    <mergeCell ref="H2:J2"/>
    <mergeCell ref="A13:A15"/>
    <mergeCell ref="B13:B15"/>
    <mergeCell ref="A16:A18"/>
    <mergeCell ref="B16:B18"/>
    <mergeCell ref="A7:A9"/>
    <mergeCell ref="B7:B9"/>
    <mergeCell ref="A10:A12"/>
    <mergeCell ref="B10:B12"/>
    <mergeCell ref="A25:A27"/>
    <mergeCell ref="B25:B27"/>
    <mergeCell ref="A28:A30"/>
    <mergeCell ref="B28:B30"/>
    <mergeCell ref="A19:A21"/>
    <mergeCell ref="B19:B21"/>
    <mergeCell ref="A22:A24"/>
    <mergeCell ref="B22:B24"/>
    <mergeCell ref="A37:A39"/>
    <mergeCell ref="B37:B39"/>
    <mergeCell ref="A40:A42"/>
    <mergeCell ref="B40:B42"/>
    <mergeCell ref="A31:A33"/>
    <mergeCell ref="B31:B33"/>
    <mergeCell ref="A34:A36"/>
    <mergeCell ref="B34:B36"/>
    <mergeCell ref="A46:A48"/>
    <mergeCell ref="B46:B48"/>
    <mergeCell ref="A49:A51"/>
    <mergeCell ref="B49:B51"/>
    <mergeCell ref="A43:A45"/>
    <mergeCell ref="B43:B45"/>
    <mergeCell ref="A58:A60"/>
    <mergeCell ref="B58:B60"/>
    <mergeCell ref="A61:A63"/>
    <mergeCell ref="B61:B63"/>
    <mergeCell ref="A52:A54"/>
    <mergeCell ref="B52:B54"/>
    <mergeCell ref="A55:A57"/>
    <mergeCell ref="B55:B57"/>
    <mergeCell ref="A70:A72"/>
    <mergeCell ref="B70:B72"/>
    <mergeCell ref="A73:A75"/>
    <mergeCell ref="B73:B75"/>
    <mergeCell ref="A64:A66"/>
    <mergeCell ref="B64:B66"/>
    <mergeCell ref="A67:A69"/>
    <mergeCell ref="B67:B69"/>
    <mergeCell ref="A82:A84"/>
    <mergeCell ref="B82:B84"/>
    <mergeCell ref="A85:A87"/>
    <mergeCell ref="B85:B87"/>
    <mergeCell ref="A76:A78"/>
    <mergeCell ref="B76:B78"/>
    <mergeCell ref="A79:A81"/>
    <mergeCell ref="B79:B81"/>
    <mergeCell ref="A91:A93"/>
    <mergeCell ref="B91:B93"/>
    <mergeCell ref="A94:A96"/>
    <mergeCell ref="B94:B96"/>
    <mergeCell ref="A88:A90"/>
    <mergeCell ref="B88:B9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2E96-1AFC-4579-BB98-1995BEACB32C}">
  <dimension ref="A1:J955"/>
  <sheetViews>
    <sheetView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L4" activeCellId="1" sqref="G1:J1048576 L1:L1048576"/>
    </sheetView>
  </sheetViews>
  <sheetFormatPr defaultColWidth="14.42578125" defaultRowHeight="15" customHeight="1" x14ac:dyDescent="0.25"/>
  <cols>
    <col min="1" max="1" width="14" customWidth="1"/>
    <col min="3" max="3" width="11.5703125" customWidth="1"/>
    <col min="4" max="4" width="7.5703125" customWidth="1"/>
    <col min="5" max="5" width="7.42578125" customWidth="1"/>
    <col min="6" max="6" width="5.5703125" customWidth="1"/>
    <col min="7" max="7" width="11.5703125" customWidth="1"/>
    <col min="8" max="8" width="7.5703125" customWidth="1"/>
    <col min="9" max="9" width="7.42578125" customWidth="1"/>
    <col min="10" max="10" width="5.5703125" customWidth="1"/>
  </cols>
  <sheetData>
    <row r="1" spans="1:10" ht="24" customHeight="1" thickBot="1" x14ac:dyDescent="0.3">
      <c r="A1" s="193" t="s">
        <v>1</v>
      </c>
      <c r="B1" s="194" t="s">
        <v>2</v>
      </c>
      <c r="C1" s="205" t="s">
        <v>3</v>
      </c>
      <c r="D1" s="196"/>
      <c r="E1" s="196"/>
      <c r="F1" s="196"/>
      <c r="G1" s="206" t="s">
        <v>4</v>
      </c>
      <c r="H1" s="174"/>
      <c r="I1" s="174"/>
      <c r="J1" s="174"/>
    </row>
    <row r="2" spans="1:10" ht="11.25" customHeight="1" x14ac:dyDescent="0.25">
      <c r="A2" s="171"/>
      <c r="B2" s="174"/>
      <c r="C2" s="207"/>
      <c r="D2" s="208" t="s">
        <v>74</v>
      </c>
      <c r="E2" s="201"/>
      <c r="F2" s="201"/>
      <c r="G2" s="209"/>
      <c r="H2" s="210" t="s">
        <v>74</v>
      </c>
      <c r="I2" s="201"/>
      <c r="J2" s="201"/>
    </row>
    <row r="3" spans="1:10" ht="23.25" thickBot="1" x14ac:dyDescent="0.3">
      <c r="A3" s="179"/>
      <c r="B3" s="181"/>
      <c r="C3" s="199"/>
      <c r="D3" s="144" t="s">
        <v>6</v>
      </c>
      <c r="E3" s="145" t="s">
        <v>7</v>
      </c>
      <c r="F3" s="145" t="s">
        <v>8</v>
      </c>
      <c r="G3" s="181"/>
      <c r="H3" s="146" t="s">
        <v>6</v>
      </c>
      <c r="I3" s="147" t="s">
        <v>7</v>
      </c>
      <c r="J3" s="147" t="s">
        <v>8</v>
      </c>
    </row>
    <row r="4" spans="1:10" ht="24.75" customHeight="1" x14ac:dyDescent="0.25">
      <c r="A4" s="192" t="s">
        <v>12</v>
      </c>
      <c r="B4" s="177" t="s">
        <v>13</v>
      </c>
      <c r="C4" s="17" t="s">
        <v>9</v>
      </c>
      <c r="D4" s="18">
        <v>30</v>
      </c>
      <c r="E4" s="19">
        <v>68</v>
      </c>
      <c r="F4" s="19">
        <f t="shared" ref="F4:F6" si="0">($E$4-D4)*100/$E$4</f>
        <v>55.882352941176471</v>
      </c>
      <c r="G4" s="137" t="s">
        <v>9</v>
      </c>
      <c r="H4" s="18">
        <v>8</v>
      </c>
      <c r="I4" s="19">
        <v>7.7</v>
      </c>
      <c r="J4" s="22">
        <f t="shared" ref="J4:J6" si="1">($I$4-H4)*100/$I$4</f>
        <v>-3.8961038961038938</v>
      </c>
    </row>
    <row r="5" spans="1:10" ht="24.75" customHeight="1" x14ac:dyDescent="0.25">
      <c r="A5" s="171"/>
      <c r="B5" s="174"/>
      <c r="C5" s="23" t="s">
        <v>10</v>
      </c>
      <c r="D5" s="24">
        <v>22</v>
      </c>
      <c r="E5" s="25"/>
      <c r="F5" s="25">
        <f t="shared" si="0"/>
        <v>67.647058823529406</v>
      </c>
      <c r="G5" s="138" t="s">
        <v>10</v>
      </c>
      <c r="H5" s="24">
        <v>7.8</v>
      </c>
      <c r="I5" s="25"/>
      <c r="J5" s="28">
        <f t="shared" si="1"/>
        <v>-1.298701298701294</v>
      </c>
    </row>
    <row r="6" spans="1:10" ht="24.75" customHeight="1" thickBot="1" x14ac:dyDescent="0.3">
      <c r="A6" s="172"/>
      <c r="B6" s="175"/>
      <c r="C6" s="29" t="s">
        <v>11</v>
      </c>
      <c r="D6" s="30">
        <v>18</v>
      </c>
      <c r="E6" s="31"/>
      <c r="F6" s="31">
        <f t="shared" si="0"/>
        <v>73.529411764705884</v>
      </c>
      <c r="G6" s="139" t="s">
        <v>11</v>
      </c>
      <c r="H6" s="30">
        <v>8.09</v>
      </c>
      <c r="I6" s="31"/>
      <c r="J6" s="34">
        <f t="shared" si="1"/>
        <v>-5.0649350649350611</v>
      </c>
    </row>
    <row r="7" spans="1:10" ht="24.75" customHeight="1" x14ac:dyDescent="0.25">
      <c r="A7" s="190" t="s">
        <v>14</v>
      </c>
      <c r="B7" s="189" t="s">
        <v>15</v>
      </c>
      <c r="C7" s="35" t="s">
        <v>9</v>
      </c>
      <c r="D7" s="40">
        <v>18</v>
      </c>
      <c r="E7" s="37">
        <v>46</v>
      </c>
      <c r="F7" s="41">
        <f t="shared" ref="F7:F9" si="2">($E$7-D7)*100/$E$7</f>
        <v>60.869565217391305</v>
      </c>
      <c r="G7" s="149" t="s">
        <v>9</v>
      </c>
      <c r="H7" s="40">
        <v>6.34</v>
      </c>
      <c r="I7" s="37">
        <v>6.6</v>
      </c>
      <c r="J7" s="41">
        <f t="shared" ref="J7:J9" si="3">($I$7-H7)*100/$I$7</f>
        <v>3.9393939393939363</v>
      </c>
    </row>
    <row r="8" spans="1:10" ht="24.75" customHeight="1" x14ac:dyDescent="0.25">
      <c r="A8" s="171"/>
      <c r="B8" s="174"/>
      <c r="C8" s="42" t="s">
        <v>10</v>
      </c>
      <c r="D8" s="43">
        <v>20</v>
      </c>
      <c r="E8" s="44"/>
      <c r="F8" s="47">
        <f t="shared" si="2"/>
        <v>56.521739130434781</v>
      </c>
      <c r="G8" s="150" t="s">
        <v>10</v>
      </c>
      <c r="H8" s="43">
        <v>6.28</v>
      </c>
      <c r="I8" s="44"/>
      <c r="J8" s="47">
        <f t="shared" si="3"/>
        <v>4.8484848484848397</v>
      </c>
    </row>
    <row r="9" spans="1:10" ht="24.75" customHeight="1" thickBot="1" x14ac:dyDescent="0.3">
      <c r="A9" s="172"/>
      <c r="B9" s="175"/>
      <c r="C9" s="48" t="s">
        <v>11</v>
      </c>
      <c r="D9" s="49">
        <v>24</v>
      </c>
      <c r="E9" s="51"/>
      <c r="F9" s="54">
        <f t="shared" si="2"/>
        <v>47.826086956521742</v>
      </c>
      <c r="G9" s="151" t="s">
        <v>11</v>
      </c>
      <c r="H9" s="49">
        <v>6.62</v>
      </c>
      <c r="I9" s="51"/>
      <c r="J9" s="54">
        <f t="shared" si="3"/>
        <v>-0.30303030303031003</v>
      </c>
    </row>
    <row r="10" spans="1:10" ht="24.75" customHeight="1" x14ac:dyDescent="0.25">
      <c r="A10" s="186" t="s">
        <v>16</v>
      </c>
      <c r="B10" s="173" t="s">
        <v>17</v>
      </c>
      <c r="C10" s="55" t="s">
        <v>9</v>
      </c>
      <c r="D10" s="56">
        <v>36</v>
      </c>
      <c r="E10" s="57">
        <v>54</v>
      </c>
      <c r="F10" s="57">
        <f t="shared" ref="F10:F12" si="4">($E$10-D10)*100/$E$10</f>
        <v>33.333333333333336</v>
      </c>
      <c r="G10" s="152" t="s">
        <v>9</v>
      </c>
      <c r="H10" s="56">
        <v>7.34</v>
      </c>
      <c r="I10" s="57">
        <v>7.43</v>
      </c>
      <c r="J10" s="60">
        <f t="shared" ref="J10:J12" si="5">($I$10-H10)*100/$I$10</f>
        <v>1.2113055181695809</v>
      </c>
    </row>
    <row r="11" spans="1:10" ht="24.75" customHeight="1" x14ac:dyDescent="0.25">
      <c r="A11" s="171"/>
      <c r="B11" s="174"/>
      <c r="C11" s="5" t="s">
        <v>10</v>
      </c>
      <c r="D11" s="6">
        <v>34</v>
      </c>
      <c r="E11" s="7"/>
      <c r="F11" s="7">
        <f t="shared" si="4"/>
        <v>37.037037037037038</v>
      </c>
      <c r="G11" s="148" t="s">
        <v>10</v>
      </c>
      <c r="H11" s="6">
        <v>7.44</v>
      </c>
      <c r="I11" s="7"/>
      <c r="J11" s="10">
        <f t="shared" si="5"/>
        <v>-0.13458950201885161</v>
      </c>
    </row>
    <row r="12" spans="1:10" ht="24.75" customHeight="1" thickBot="1" x14ac:dyDescent="0.3">
      <c r="A12" s="172"/>
      <c r="B12" s="175"/>
      <c r="C12" s="11" t="s">
        <v>11</v>
      </c>
      <c r="D12" s="62">
        <v>30</v>
      </c>
      <c r="E12" s="63"/>
      <c r="F12" s="63">
        <f t="shared" si="4"/>
        <v>44.444444444444443</v>
      </c>
      <c r="G12" s="153" t="s">
        <v>11</v>
      </c>
      <c r="H12" s="62">
        <v>6.96</v>
      </c>
      <c r="I12" s="63"/>
      <c r="J12" s="66">
        <f t="shared" si="5"/>
        <v>6.3257065948855953</v>
      </c>
    </row>
    <row r="13" spans="1:10" ht="24.75" customHeight="1" x14ac:dyDescent="0.25">
      <c r="A13" s="191" t="s">
        <v>18</v>
      </c>
      <c r="B13" s="180" t="s">
        <v>75</v>
      </c>
      <c r="C13" s="17" t="s">
        <v>9</v>
      </c>
      <c r="D13" s="18">
        <v>15</v>
      </c>
      <c r="E13" s="69">
        <v>64</v>
      </c>
      <c r="F13" s="69">
        <f t="shared" ref="F13:F15" si="6">($E$13-D13)*100/$E$13</f>
        <v>76.5625</v>
      </c>
      <c r="G13" s="154" t="s">
        <v>9</v>
      </c>
      <c r="H13" s="18">
        <v>7.02</v>
      </c>
      <c r="I13" s="19">
        <v>7.23</v>
      </c>
      <c r="J13" s="72">
        <f t="shared" ref="J13:J15" si="7">($I$13-H13)*100/$I$13</f>
        <v>2.9045643153527085</v>
      </c>
    </row>
    <row r="14" spans="1:10" ht="24.75" customHeight="1" x14ac:dyDescent="0.25">
      <c r="A14" s="171"/>
      <c r="B14" s="174"/>
      <c r="C14" s="23" t="s">
        <v>10</v>
      </c>
      <c r="D14" s="24">
        <v>10</v>
      </c>
      <c r="E14" s="25"/>
      <c r="F14" s="25">
        <f t="shared" si="6"/>
        <v>84.375</v>
      </c>
      <c r="G14" s="138" t="s">
        <v>10</v>
      </c>
      <c r="H14" s="24">
        <v>7.24</v>
      </c>
      <c r="I14" s="25"/>
      <c r="J14" s="28">
        <f t="shared" si="7"/>
        <v>-0.13831258644536357</v>
      </c>
    </row>
    <row r="15" spans="1:10" ht="24.75" customHeight="1" thickBot="1" x14ac:dyDescent="0.3">
      <c r="A15" s="179"/>
      <c r="B15" s="181"/>
      <c r="C15" s="29" t="s">
        <v>11</v>
      </c>
      <c r="D15" s="30">
        <v>12</v>
      </c>
      <c r="E15" s="75"/>
      <c r="F15" s="75">
        <f t="shared" si="6"/>
        <v>81.25</v>
      </c>
      <c r="G15" s="155" t="s">
        <v>11</v>
      </c>
      <c r="H15" s="30">
        <v>7.35</v>
      </c>
      <c r="I15" s="75"/>
      <c r="J15" s="78">
        <f t="shared" si="7"/>
        <v>-1.6597510373443873</v>
      </c>
    </row>
    <row r="16" spans="1:10" ht="24.75" customHeight="1" x14ac:dyDescent="0.25">
      <c r="A16" s="190" t="s">
        <v>20</v>
      </c>
      <c r="B16" s="189" t="s">
        <v>21</v>
      </c>
      <c r="C16" s="156" t="s">
        <v>9</v>
      </c>
      <c r="D16" s="40">
        <v>36</v>
      </c>
      <c r="E16" s="37">
        <v>60</v>
      </c>
      <c r="F16" s="41">
        <f t="shared" ref="F16:F18" si="8">($E$16-D16)*100/$E$16</f>
        <v>40</v>
      </c>
      <c r="G16" s="149" t="s">
        <v>9</v>
      </c>
      <c r="H16" s="40">
        <v>5.78</v>
      </c>
      <c r="I16" s="37">
        <v>7.04</v>
      </c>
      <c r="J16" s="41">
        <f t="shared" ref="J16:J18" si="9">($I$16-H16)*100/$I$16</f>
        <v>17.89772727272727</v>
      </c>
    </row>
    <row r="17" spans="1:10" ht="24.75" customHeight="1" x14ac:dyDescent="0.25">
      <c r="A17" s="171"/>
      <c r="B17" s="174"/>
      <c r="C17" s="42" t="s">
        <v>10</v>
      </c>
      <c r="D17" s="43">
        <v>20</v>
      </c>
      <c r="E17" s="44"/>
      <c r="F17" s="47">
        <f t="shared" si="8"/>
        <v>66.666666666666671</v>
      </c>
      <c r="G17" s="150" t="s">
        <v>10</v>
      </c>
      <c r="H17" s="43">
        <v>5.78</v>
      </c>
      <c r="I17" s="44"/>
      <c r="J17" s="47">
        <f t="shared" si="9"/>
        <v>17.89772727272727</v>
      </c>
    </row>
    <row r="18" spans="1:10" ht="24.75" customHeight="1" thickBot="1" x14ac:dyDescent="0.3">
      <c r="A18" s="172"/>
      <c r="B18" s="175"/>
      <c r="C18" s="48" t="s">
        <v>11</v>
      </c>
      <c r="D18" s="49">
        <v>32</v>
      </c>
      <c r="E18" s="51"/>
      <c r="F18" s="54">
        <f t="shared" si="8"/>
        <v>46.666666666666664</v>
      </c>
      <c r="G18" s="151" t="s">
        <v>11</v>
      </c>
      <c r="H18" s="49">
        <v>6.66</v>
      </c>
      <c r="I18" s="51"/>
      <c r="J18" s="54">
        <f t="shared" si="9"/>
        <v>5.3977272727272707</v>
      </c>
    </row>
    <row r="19" spans="1:10" ht="24.75" customHeight="1" x14ac:dyDescent="0.25">
      <c r="A19" s="190" t="s">
        <v>22</v>
      </c>
      <c r="B19" s="189" t="s">
        <v>23</v>
      </c>
      <c r="C19" s="35" t="s">
        <v>9</v>
      </c>
      <c r="D19" s="40">
        <v>32</v>
      </c>
      <c r="E19" s="37">
        <v>60</v>
      </c>
      <c r="F19" s="41">
        <f t="shared" ref="F19:F21" si="10">($E$19-D19)*100/$E$19</f>
        <v>46.666666666666664</v>
      </c>
      <c r="G19" s="149" t="s">
        <v>9</v>
      </c>
      <c r="H19" s="40">
        <v>7.83</v>
      </c>
      <c r="I19" s="37">
        <v>7.63</v>
      </c>
      <c r="J19" s="41">
        <f t="shared" ref="J19:J21" si="11">($I$19-H19)*100/$I$19</f>
        <v>-2.6212319790301466</v>
      </c>
    </row>
    <row r="20" spans="1:10" ht="24.75" customHeight="1" x14ac:dyDescent="0.25">
      <c r="A20" s="171"/>
      <c r="B20" s="174"/>
      <c r="C20" s="42" t="s">
        <v>10</v>
      </c>
      <c r="D20" s="43">
        <v>20</v>
      </c>
      <c r="E20" s="44"/>
      <c r="F20" s="47">
        <f t="shared" si="10"/>
        <v>66.666666666666671</v>
      </c>
      <c r="G20" s="150" t="s">
        <v>10</v>
      </c>
      <c r="H20" s="43">
        <v>7.27</v>
      </c>
      <c r="I20" s="44"/>
      <c r="J20" s="47">
        <f t="shared" si="11"/>
        <v>4.7182175622542637</v>
      </c>
    </row>
    <row r="21" spans="1:10" ht="24.75" customHeight="1" thickBot="1" x14ac:dyDescent="0.3">
      <c r="A21" s="172"/>
      <c r="B21" s="175"/>
      <c r="C21" s="48" t="s">
        <v>11</v>
      </c>
      <c r="D21" s="49">
        <v>32</v>
      </c>
      <c r="E21" s="51"/>
      <c r="F21" s="54">
        <f t="shared" si="10"/>
        <v>46.666666666666664</v>
      </c>
      <c r="G21" s="151" t="s">
        <v>11</v>
      </c>
      <c r="H21" s="49">
        <v>7.79</v>
      </c>
      <c r="I21" s="51"/>
      <c r="J21" s="54">
        <f t="shared" si="11"/>
        <v>-2.0969855832241171</v>
      </c>
    </row>
    <row r="22" spans="1:10" ht="24.75" customHeight="1" x14ac:dyDescent="0.25">
      <c r="A22" s="188" t="s">
        <v>24</v>
      </c>
      <c r="B22" s="189" t="s">
        <v>25</v>
      </c>
      <c r="C22" s="35" t="s">
        <v>9</v>
      </c>
      <c r="D22" s="40">
        <v>20</v>
      </c>
      <c r="E22" s="37">
        <v>58</v>
      </c>
      <c r="F22" s="41">
        <f t="shared" ref="F22:F24" si="12">($E$22-D22)*100/$E$22</f>
        <v>65.517241379310349</v>
      </c>
      <c r="G22" s="149" t="s">
        <v>9</v>
      </c>
      <c r="H22" s="40">
        <v>6.36</v>
      </c>
      <c r="I22" s="37">
        <v>6.85</v>
      </c>
      <c r="J22" s="41">
        <f t="shared" ref="J22:J24" si="13">($I$22-H22)*100/$I$22</f>
        <v>7.1532846715328366</v>
      </c>
    </row>
    <row r="23" spans="1:10" ht="24.75" customHeight="1" x14ac:dyDescent="0.25">
      <c r="A23" s="171"/>
      <c r="B23" s="174"/>
      <c r="C23" s="42" t="s">
        <v>10</v>
      </c>
      <c r="D23" s="43">
        <v>16</v>
      </c>
      <c r="E23" s="44"/>
      <c r="F23" s="47">
        <f t="shared" si="12"/>
        <v>72.41379310344827</v>
      </c>
      <c r="G23" s="150" t="s">
        <v>10</v>
      </c>
      <c r="H23" s="43">
        <v>6.23</v>
      </c>
      <c r="I23" s="44"/>
      <c r="J23" s="47">
        <f t="shared" si="13"/>
        <v>9.0510948905109387</v>
      </c>
    </row>
    <row r="24" spans="1:10" ht="24.75" customHeight="1" thickBot="1" x14ac:dyDescent="0.3">
      <c r="A24" s="172"/>
      <c r="B24" s="175"/>
      <c r="C24" s="48" t="s">
        <v>11</v>
      </c>
      <c r="D24" s="49">
        <v>36</v>
      </c>
      <c r="E24" s="51"/>
      <c r="F24" s="54">
        <f t="shared" si="12"/>
        <v>37.931034482758619</v>
      </c>
      <c r="G24" s="151" t="s">
        <v>11</v>
      </c>
      <c r="H24" s="49">
        <v>6.94</v>
      </c>
      <c r="I24" s="51"/>
      <c r="J24" s="54">
        <f t="shared" si="13"/>
        <v>-1.3138686131386972</v>
      </c>
    </row>
    <row r="25" spans="1:10" ht="24.75" customHeight="1" x14ac:dyDescent="0.25">
      <c r="A25" s="184" t="s">
        <v>26</v>
      </c>
      <c r="B25" s="180" t="s">
        <v>27</v>
      </c>
      <c r="C25" s="67" t="s">
        <v>9</v>
      </c>
      <c r="D25" s="73">
        <v>34</v>
      </c>
      <c r="E25" s="69">
        <v>75</v>
      </c>
      <c r="F25" s="69">
        <f t="shared" ref="F25:F27" si="14">($E$25-D25)*100/$E$25</f>
        <v>54.666666666666664</v>
      </c>
      <c r="G25" s="154" t="s">
        <v>9</v>
      </c>
      <c r="H25" s="73">
        <v>7.64</v>
      </c>
      <c r="I25" s="69">
        <v>7.68</v>
      </c>
      <c r="J25" s="72">
        <f t="shared" ref="J25:J27" si="15">($I$25-H25)*100/$I$25</f>
        <v>0.52083333333333381</v>
      </c>
    </row>
    <row r="26" spans="1:10" ht="24.75" customHeight="1" x14ac:dyDescent="0.25">
      <c r="A26" s="171"/>
      <c r="B26" s="174"/>
      <c r="C26" s="23" t="s">
        <v>10</v>
      </c>
      <c r="D26" s="24">
        <v>34</v>
      </c>
      <c r="E26" s="25"/>
      <c r="F26" s="25">
        <f t="shared" si="14"/>
        <v>54.666666666666664</v>
      </c>
      <c r="G26" s="138" t="s">
        <v>10</v>
      </c>
      <c r="H26" s="24">
        <v>7.82</v>
      </c>
      <c r="I26" s="25"/>
      <c r="J26" s="28">
        <f t="shared" si="15"/>
        <v>-1.8229166666666741</v>
      </c>
    </row>
    <row r="27" spans="1:10" ht="24.75" customHeight="1" thickBot="1" x14ac:dyDescent="0.3">
      <c r="A27" s="179"/>
      <c r="B27" s="181"/>
      <c r="C27" s="74" t="s">
        <v>11</v>
      </c>
      <c r="D27" s="79">
        <v>24</v>
      </c>
      <c r="E27" s="75"/>
      <c r="F27" s="75">
        <f t="shared" si="14"/>
        <v>68</v>
      </c>
      <c r="G27" s="155" t="s">
        <v>11</v>
      </c>
      <c r="H27" s="79">
        <v>7.79</v>
      </c>
      <c r="I27" s="75"/>
      <c r="J27" s="78">
        <f t="shared" si="15"/>
        <v>-1.432291666666671</v>
      </c>
    </row>
    <row r="28" spans="1:10" ht="24.75" customHeight="1" x14ac:dyDescent="0.25">
      <c r="A28" s="190" t="s">
        <v>28</v>
      </c>
      <c r="B28" s="189" t="s">
        <v>29</v>
      </c>
      <c r="C28" s="35" t="s">
        <v>9</v>
      </c>
      <c r="D28" s="40">
        <v>28</v>
      </c>
      <c r="E28" s="37">
        <v>46</v>
      </c>
      <c r="F28" s="41">
        <f t="shared" ref="F28:F30" si="16">($E$28-D28)*100/$E$28</f>
        <v>39.130434782608695</v>
      </c>
      <c r="G28" s="149" t="s">
        <v>9</v>
      </c>
      <c r="H28" s="40">
        <v>7.16</v>
      </c>
      <c r="I28" s="37">
        <v>6.9</v>
      </c>
      <c r="J28" s="41">
        <f t="shared" ref="J28:J30" si="17">($I$28-H28)*100/$I$28</f>
        <v>-3.7681159420289823</v>
      </c>
    </row>
    <row r="29" spans="1:10" ht="24.75" customHeight="1" x14ac:dyDescent="0.25">
      <c r="A29" s="171"/>
      <c r="B29" s="174"/>
      <c r="C29" s="42" t="s">
        <v>10</v>
      </c>
      <c r="D29" s="43">
        <v>20</v>
      </c>
      <c r="E29" s="44"/>
      <c r="F29" s="47">
        <f t="shared" si="16"/>
        <v>56.521739130434781</v>
      </c>
      <c r="G29" s="150" t="s">
        <v>10</v>
      </c>
      <c r="H29" s="43">
        <v>7.16</v>
      </c>
      <c r="I29" s="44"/>
      <c r="J29" s="47">
        <f t="shared" si="17"/>
        <v>-3.7681159420289823</v>
      </c>
    </row>
    <row r="30" spans="1:10" ht="24.75" customHeight="1" thickBot="1" x14ac:dyDescent="0.3">
      <c r="A30" s="172"/>
      <c r="B30" s="175"/>
      <c r="C30" s="48" t="s">
        <v>11</v>
      </c>
      <c r="D30" s="49">
        <v>40</v>
      </c>
      <c r="E30" s="51"/>
      <c r="F30" s="54">
        <f t="shared" si="16"/>
        <v>13.043478260869565</v>
      </c>
      <c r="G30" s="151" t="s">
        <v>11</v>
      </c>
      <c r="H30" s="49">
        <v>7.23</v>
      </c>
      <c r="I30" s="51"/>
      <c r="J30" s="54">
        <f t="shared" si="17"/>
        <v>-4.7826086956521747</v>
      </c>
    </row>
    <row r="31" spans="1:10" ht="24.75" customHeight="1" x14ac:dyDescent="0.25">
      <c r="A31" s="188" t="s">
        <v>30</v>
      </c>
      <c r="B31" s="189" t="s">
        <v>31</v>
      </c>
      <c r="C31" s="35" t="s">
        <v>9</v>
      </c>
      <c r="D31" s="40">
        <v>24</v>
      </c>
      <c r="E31" s="37">
        <v>46</v>
      </c>
      <c r="F31" s="41">
        <f t="shared" ref="F31:F33" si="18">($E$31-D31)*100/$E$31</f>
        <v>47.826086956521742</v>
      </c>
      <c r="G31" s="149" t="s">
        <v>9</v>
      </c>
      <c r="H31" s="40">
        <v>7.57</v>
      </c>
      <c r="I31" s="37">
        <v>7.68</v>
      </c>
      <c r="J31" s="41">
        <f t="shared" ref="J31:J33" si="19">($I$31-H31)*100/$I$31</f>
        <v>1.4322916666666594</v>
      </c>
    </row>
    <row r="32" spans="1:10" ht="24.75" customHeight="1" x14ac:dyDescent="0.25">
      <c r="A32" s="171"/>
      <c r="B32" s="174"/>
      <c r="C32" s="42" t="s">
        <v>10</v>
      </c>
      <c r="D32" s="43">
        <v>20</v>
      </c>
      <c r="E32" s="44"/>
      <c r="F32" s="47">
        <f t="shared" si="18"/>
        <v>56.521739130434781</v>
      </c>
      <c r="G32" s="150" t="s">
        <v>10</v>
      </c>
      <c r="H32" s="43">
        <v>7.58</v>
      </c>
      <c r="I32" s="44"/>
      <c r="J32" s="47">
        <f t="shared" si="19"/>
        <v>1.3020833333333288</v>
      </c>
    </row>
    <row r="33" spans="1:10" ht="24.75" customHeight="1" thickBot="1" x14ac:dyDescent="0.3">
      <c r="A33" s="172"/>
      <c r="B33" s="175"/>
      <c r="C33" s="48" t="s">
        <v>11</v>
      </c>
      <c r="D33" s="49">
        <v>32</v>
      </c>
      <c r="E33" s="51"/>
      <c r="F33" s="54">
        <f t="shared" si="18"/>
        <v>30.434782608695652</v>
      </c>
      <c r="G33" s="151" t="s">
        <v>11</v>
      </c>
      <c r="H33" s="49">
        <v>7.67</v>
      </c>
      <c r="I33" s="51"/>
      <c r="J33" s="54">
        <f t="shared" si="19"/>
        <v>0.13020833333333057</v>
      </c>
    </row>
    <row r="34" spans="1:10" ht="24.75" customHeight="1" x14ac:dyDescent="0.25">
      <c r="A34" s="190" t="s">
        <v>32</v>
      </c>
      <c r="B34" s="189" t="s">
        <v>33</v>
      </c>
      <c r="C34" s="35" t="s">
        <v>9</v>
      </c>
      <c r="D34" s="40">
        <v>26</v>
      </c>
      <c r="E34" s="37">
        <v>58</v>
      </c>
      <c r="F34" s="41">
        <f t="shared" ref="F34:F36" si="20">($E$34-D34)*100/$E$34</f>
        <v>55.172413793103445</v>
      </c>
      <c r="G34" s="149" t="s">
        <v>9</v>
      </c>
      <c r="H34" s="40">
        <v>6.91</v>
      </c>
      <c r="I34" s="37">
        <v>7.23</v>
      </c>
      <c r="J34" s="41">
        <f t="shared" ref="J34:J36" si="21">($I$34-H34)*100/$I$34</f>
        <v>4.4260027662517327</v>
      </c>
    </row>
    <row r="35" spans="1:10" ht="24.75" customHeight="1" x14ac:dyDescent="0.25">
      <c r="A35" s="171"/>
      <c r="B35" s="174"/>
      <c r="C35" s="42" t="s">
        <v>10</v>
      </c>
      <c r="D35" s="43">
        <v>20</v>
      </c>
      <c r="E35" s="44"/>
      <c r="F35" s="47">
        <f t="shared" si="20"/>
        <v>65.517241379310349</v>
      </c>
      <c r="G35" s="150" t="s">
        <v>10</v>
      </c>
      <c r="H35" s="43">
        <v>7.25</v>
      </c>
      <c r="I35" s="44"/>
      <c r="J35" s="47">
        <f t="shared" si="21"/>
        <v>-0.27662517289072713</v>
      </c>
    </row>
    <row r="36" spans="1:10" ht="24.75" customHeight="1" thickBot="1" x14ac:dyDescent="0.3">
      <c r="A36" s="172"/>
      <c r="B36" s="175"/>
      <c r="C36" s="157" t="s">
        <v>11</v>
      </c>
      <c r="D36" s="49">
        <v>26</v>
      </c>
      <c r="E36" s="51"/>
      <c r="F36" s="54">
        <f t="shared" si="20"/>
        <v>55.172413793103445</v>
      </c>
      <c r="G36" s="151" t="s">
        <v>11</v>
      </c>
      <c r="H36" s="49">
        <v>6.8</v>
      </c>
      <c r="I36" s="51"/>
      <c r="J36" s="54">
        <f t="shared" si="21"/>
        <v>5.947441217150768</v>
      </c>
    </row>
    <row r="37" spans="1:10" ht="24.75" customHeight="1" x14ac:dyDescent="0.25">
      <c r="A37" s="184" t="s">
        <v>34</v>
      </c>
      <c r="B37" s="180" t="s">
        <v>35</v>
      </c>
      <c r="C37" s="17" t="s">
        <v>9</v>
      </c>
      <c r="D37" s="24">
        <v>20</v>
      </c>
      <c r="E37" s="25">
        <v>57</v>
      </c>
      <c r="F37" s="25">
        <f t="shared" ref="F37:F39" si="22">($E$37-D37)*100/$E$37</f>
        <v>64.912280701754383</v>
      </c>
      <c r="G37" s="138" t="s">
        <v>9</v>
      </c>
      <c r="H37" s="24">
        <v>6.57</v>
      </c>
      <c r="I37" s="25">
        <v>7.54</v>
      </c>
      <c r="J37" s="28">
        <f t="shared" ref="J37:J39" si="23">($I$37-H37)*100/$I$37</f>
        <v>12.864721485411136</v>
      </c>
    </row>
    <row r="38" spans="1:10" ht="24.75" customHeight="1" x14ac:dyDescent="0.25">
      <c r="A38" s="171"/>
      <c r="B38" s="174"/>
      <c r="C38" s="23" t="s">
        <v>10</v>
      </c>
      <c r="D38" s="24">
        <v>20</v>
      </c>
      <c r="E38" s="25"/>
      <c r="F38" s="25">
        <f t="shared" si="22"/>
        <v>64.912280701754383</v>
      </c>
      <c r="G38" s="138" t="s">
        <v>10</v>
      </c>
      <c r="H38" s="24">
        <v>6.41</v>
      </c>
      <c r="I38" s="25"/>
      <c r="J38" s="28">
        <f t="shared" si="23"/>
        <v>14.986737400530503</v>
      </c>
    </row>
    <row r="39" spans="1:10" ht="24.75" customHeight="1" thickBot="1" x14ac:dyDescent="0.3">
      <c r="A39" s="179"/>
      <c r="B39" s="181"/>
      <c r="C39" s="29" t="s">
        <v>11</v>
      </c>
      <c r="D39" s="79">
        <v>24</v>
      </c>
      <c r="E39" s="75"/>
      <c r="F39" s="75">
        <f t="shared" si="22"/>
        <v>57.89473684210526</v>
      </c>
      <c r="G39" s="155" t="s">
        <v>11</v>
      </c>
      <c r="H39" s="79">
        <v>6.98</v>
      </c>
      <c r="I39" s="75"/>
      <c r="J39" s="78">
        <f t="shared" si="23"/>
        <v>7.427055702917766</v>
      </c>
    </row>
    <row r="40" spans="1:10" ht="24.75" customHeight="1" x14ac:dyDescent="0.25">
      <c r="A40" s="188" t="s">
        <v>36</v>
      </c>
      <c r="B40" s="189" t="s">
        <v>37</v>
      </c>
      <c r="C40" s="156" t="s">
        <v>9</v>
      </c>
      <c r="D40" s="40">
        <v>30</v>
      </c>
      <c r="E40" s="37">
        <v>50</v>
      </c>
      <c r="F40" s="41">
        <f t="shared" ref="F40:F42" si="24">($E$40-D40)*100/$E$40</f>
        <v>40</v>
      </c>
      <c r="G40" s="149" t="s">
        <v>9</v>
      </c>
      <c r="H40" s="40">
        <v>7.64</v>
      </c>
      <c r="I40" s="37">
        <v>7.87</v>
      </c>
      <c r="J40" s="41">
        <f t="shared" ref="J40:J42" si="25">($I$40-H40)*100/$I$40</f>
        <v>2.9224904701397767</v>
      </c>
    </row>
    <row r="41" spans="1:10" ht="24.75" customHeight="1" x14ac:dyDescent="0.25">
      <c r="A41" s="171"/>
      <c r="B41" s="174"/>
      <c r="C41" s="42" t="s">
        <v>10</v>
      </c>
      <c r="D41" s="43">
        <v>20</v>
      </c>
      <c r="E41" s="44"/>
      <c r="F41" s="47">
        <f t="shared" si="24"/>
        <v>60</v>
      </c>
      <c r="G41" s="150" t="s">
        <v>10</v>
      </c>
      <c r="H41" s="43">
        <v>7.57</v>
      </c>
      <c r="I41" s="44"/>
      <c r="J41" s="47">
        <f t="shared" si="25"/>
        <v>3.811944091486656</v>
      </c>
    </row>
    <row r="42" spans="1:10" ht="24.75" customHeight="1" thickBot="1" x14ac:dyDescent="0.3">
      <c r="A42" s="172"/>
      <c r="B42" s="175"/>
      <c r="C42" s="48" t="s">
        <v>11</v>
      </c>
      <c r="D42" s="49">
        <v>28</v>
      </c>
      <c r="E42" s="51"/>
      <c r="F42" s="54">
        <f t="shared" si="24"/>
        <v>44</v>
      </c>
      <c r="G42" s="158" t="s">
        <v>11</v>
      </c>
      <c r="H42" s="49">
        <v>7.63</v>
      </c>
      <c r="I42" s="51"/>
      <c r="J42" s="54">
        <f t="shared" si="25"/>
        <v>3.0495552731893292</v>
      </c>
    </row>
    <row r="43" spans="1:10" ht="24.75" customHeight="1" x14ac:dyDescent="0.25">
      <c r="A43" s="188" t="s">
        <v>38</v>
      </c>
      <c r="B43" s="189" t="s">
        <v>39</v>
      </c>
      <c r="C43" s="35" t="s">
        <v>9</v>
      </c>
      <c r="D43" s="40">
        <v>20</v>
      </c>
      <c r="E43" s="37">
        <v>50</v>
      </c>
      <c r="F43" s="41">
        <f t="shared" ref="F43:F45" si="26">($E$43-D43)*100/$E$43</f>
        <v>60</v>
      </c>
      <c r="G43" s="149" t="s">
        <v>9</v>
      </c>
      <c r="H43" s="40">
        <v>6.43</v>
      </c>
      <c r="I43" s="37">
        <v>7.54</v>
      </c>
      <c r="J43" s="41">
        <f t="shared" ref="J43:J45" si="27">($I$43-H43)*100/$I$43</f>
        <v>14.721485411140588</v>
      </c>
    </row>
    <row r="44" spans="1:10" ht="24.75" customHeight="1" x14ac:dyDescent="0.25">
      <c r="A44" s="171"/>
      <c r="B44" s="174"/>
      <c r="C44" s="42" t="s">
        <v>10</v>
      </c>
      <c r="D44" s="43">
        <v>14</v>
      </c>
      <c r="E44" s="44"/>
      <c r="F44" s="47">
        <f t="shared" si="26"/>
        <v>72</v>
      </c>
      <c r="G44" s="150" t="s">
        <v>10</v>
      </c>
      <c r="H44" s="43">
        <v>6</v>
      </c>
      <c r="I44" s="44"/>
      <c r="J44" s="47">
        <f t="shared" si="27"/>
        <v>20.424403183023873</v>
      </c>
    </row>
    <row r="45" spans="1:10" ht="24.75" customHeight="1" thickBot="1" x14ac:dyDescent="0.3">
      <c r="A45" s="172"/>
      <c r="B45" s="175"/>
      <c r="C45" s="48" t="s">
        <v>11</v>
      </c>
      <c r="D45" s="49">
        <v>24</v>
      </c>
      <c r="E45" s="51"/>
      <c r="F45" s="54">
        <f t="shared" si="26"/>
        <v>52</v>
      </c>
      <c r="G45" s="151" t="s">
        <v>11</v>
      </c>
      <c r="H45" s="49">
        <v>6.57</v>
      </c>
      <c r="I45" s="51"/>
      <c r="J45" s="54">
        <f t="shared" si="27"/>
        <v>12.864721485411136</v>
      </c>
    </row>
    <row r="46" spans="1:10" ht="24.75" customHeight="1" x14ac:dyDescent="0.25">
      <c r="A46" s="186" t="s">
        <v>40</v>
      </c>
      <c r="B46" s="173" t="s">
        <v>41</v>
      </c>
      <c r="C46" s="55" t="s">
        <v>9</v>
      </c>
      <c r="D46" s="56">
        <v>20</v>
      </c>
      <c r="E46" s="57">
        <v>68</v>
      </c>
      <c r="F46" s="57">
        <f t="shared" ref="F46:F48" si="28">($E$46-D46)*100/$E$46</f>
        <v>70.588235294117652</v>
      </c>
      <c r="G46" s="152" t="s">
        <v>9</v>
      </c>
      <c r="H46" s="56">
        <v>7.21</v>
      </c>
      <c r="I46" s="57">
        <v>7.97</v>
      </c>
      <c r="J46" s="60">
        <f t="shared" ref="J46:J48" si="29">($I$46-H46)*100/$I$46</f>
        <v>9.535759096612292</v>
      </c>
    </row>
    <row r="47" spans="1:10" ht="24.75" customHeight="1" x14ac:dyDescent="0.25">
      <c r="A47" s="171"/>
      <c r="B47" s="174"/>
      <c r="C47" s="5" t="s">
        <v>10</v>
      </c>
      <c r="D47" s="6">
        <v>18</v>
      </c>
      <c r="E47" s="7"/>
      <c r="F47" s="7">
        <f t="shared" si="28"/>
        <v>73.529411764705884</v>
      </c>
      <c r="G47" s="148" t="s">
        <v>10</v>
      </c>
      <c r="H47" s="6">
        <v>7.15</v>
      </c>
      <c r="I47" s="7"/>
      <c r="J47" s="10">
        <f t="shared" si="29"/>
        <v>10.288582183186945</v>
      </c>
    </row>
    <row r="48" spans="1:10" ht="24.75" customHeight="1" thickBot="1" x14ac:dyDescent="0.3">
      <c r="A48" s="172"/>
      <c r="B48" s="175"/>
      <c r="C48" s="61" t="s">
        <v>11</v>
      </c>
      <c r="D48" s="62">
        <v>14</v>
      </c>
      <c r="E48" s="63"/>
      <c r="F48" s="63">
        <f t="shared" si="28"/>
        <v>79.411764705882348</v>
      </c>
      <c r="G48" s="153" t="s">
        <v>11</v>
      </c>
      <c r="H48" s="62">
        <v>7.51</v>
      </c>
      <c r="I48" s="63"/>
      <c r="J48" s="66">
        <f t="shared" si="29"/>
        <v>5.7716436637390212</v>
      </c>
    </row>
    <row r="49" spans="1:10" ht="24.75" customHeight="1" x14ac:dyDescent="0.25">
      <c r="A49" s="186" t="s">
        <v>42</v>
      </c>
      <c r="B49" s="173" t="s">
        <v>43</v>
      </c>
      <c r="C49" s="55" t="s">
        <v>9</v>
      </c>
      <c r="D49" s="56">
        <v>14</v>
      </c>
      <c r="E49" s="57">
        <v>65</v>
      </c>
      <c r="F49" s="57">
        <f t="shared" ref="F49:F51" si="30">($E$49-D49)*100/$E$49</f>
        <v>78.461538461538467</v>
      </c>
      <c r="G49" s="152" t="s">
        <v>9</v>
      </c>
      <c r="H49" s="56">
        <v>6.28</v>
      </c>
      <c r="I49" s="57">
        <v>7.94</v>
      </c>
      <c r="J49" s="60">
        <f t="shared" ref="J49:J51" si="31">($I$49-H49)*100/$I$49</f>
        <v>20.906801007556673</v>
      </c>
    </row>
    <row r="50" spans="1:10" ht="24.75" customHeight="1" x14ac:dyDescent="0.25">
      <c r="A50" s="171"/>
      <c r="B50" s="174"/>
      <c r="C50" s="5" t="s">
        <v>10</v>
      </c>
      <c r="D50" s="6">
        <v>16</v>
      </c>
      <c r="E50" s="7"/>
      <c r="F50" s="7">
        <f t="shared" si="30"/>
        <v>75.384615384615387</v>
      </c>
      <c r="G50" s="148" t="s">
        <v>10</v>
      </c>
      <c r="H50" s="6">
        <v>7.41</v>
      </c>
      <c r="I50" s="7"/>
      <c r="J50" s="10">
        <f t="shared" si="31"/>
        <v>6.6750629722921948</v>
      </c>
    </row>
    <row r="51" spans="1:10" ht="24.75" customHeight="1" thickBot="1" x14ac:dyDescent="0.3">
      <c r="A51" s="172"/>
      <c r="B51" s="175"/>
      <c r="C51" s="61" t="s">
        <v>11</v>
      </c>
      <c r="D51" s="62">
        <v>16</v>
      </c>
      <c r="E51" s="63"/>
      <c r="F51" s="63">
        <f t="shared" si="30"/>
        <v>75.384615384615387</v>
      </c>
      <c r="G51" s="153" t="s">
        <v>11</v>
      </c>
      <c r="H51" s="62">
        <v>7.15</v>
      </c>
      <c r="I51" s="63"/>
      <c r="J51" s="66">
        <f t="shared" si="31"/>
        <v>9.9496221662468507</v>
      </c>
    </row>
    <row r="52" spans="1:10" ht="24.75" customHeight="1" x14ac:dyDescent="0.25">
      <c r="A52" s="186" t="s">
        <v>44</v>
      </c>
      <c r="B52" s="173" t="s">
        <v>45</v>
      </c>
      <c r="C52" s="55" t="s">
        <v>9</v>
      </c>
      <c r="D52" s="56">
        <v>14</v>
      </c>
      <c r="E52" s="57">
        <v>54</v>
      </c>
      <c r="F52" s="57">
        <f t="shared" ref="F52:F54" si="32">($E$52-D52)*100/$E$52</f>
        <v>74.074074074074076</v>
      </c>
      <c r="G52" s="152" t="s">
        <v>9</v>
      </c>
      <c r="H52" s="56">
        <v>7.11</v>
      </c>
      <c r="I52" s="57">
        <v>7.66</v>
      </c>
      <c r="J52" s="60">
        <f t="shared" ref="J52:J54" si="33">($I$52-H52)*100/$I$52</f>
        <v>7.1801566579634448</v>
      </c>
    </row>
    <row r="53" spans="1:10" ht="24.75" customHeight="1" x14ac:dyDescent="0.25">
      <c r="A53" s="171"/>
      <c r="B53" s="174"/>
      <c r="C53" s="5" t="s">
        <v>10</v>
      </c>
      <c r="D53" s="6">
        <v>20</v>
      </c>
      <c r="E53" s="7"/>
      <c r="F53" s="7">
        <f t="shared" si="32"/>
        <v>62.962962962962962</v>
      </c>
      <c r="G53" s="148" t="s">
        <v>10</v>
      </c>
      <c r="H53" s="6">
        <v>6.78</v>
      </c>
      <c r="I53" s="7"/>
      <c r="J53" s="10">
        <f t="shared" si="33"/>
        <v>11.488250652741513</v>
      </c>
    </row>
    <row r="54" spans="1:10" ht="24.75" customHeight="1" thickBot="1" x14ac:dyDescent="0.3">
      <c r="A54" s="172"/>
      <c r="B54" s="175"/>
      <c r="C54" s="61" t="s">
        <v>11</v>
      </c>
      <c r="D54" s="62">
        <v>20</v>
      </c>
      <c r="E54" s="63"/>
      <c r="F54" s="63">
        <f t="shared" si="32"/>
        <v>62.962962962962962</v>
      </c>
      <c r="G54" s="153" t="s">
        <v>11</v>
      </c>
      <c r="H54" s="62">
        <v>6.82</v>
      </c>
      <c r="I54" s="63"/>
      <c r="J54" s="66">
        <f t="shared" si="33"/>
        <v>10.966057441253261</v>
      </c>
    </row>
    <row r="55" spans="1:10" ht="24.75" customHeight="1" x14ac:dyDescent="0.25">
      <c r="A55" s="187" t="s">
        <v>46</v>
      </c>
      <c r="B55" s="173" t="s">
        <v>47</v>
      </c>
      <c r="C55" s="95" t="s">
        <v>9</v>
      </c>
      <c r="D55" s="56">
        <v>20</v>
      </c>
      <c r="E55" s="99">
        <v>30</v>
      </c>
      <c r="F55" s="99">
        <f t="shared" ref="F55:F57" si="34">($E$55-D55)*100/$E$55</f>
        <v>33.333333333333336</v>
      </c>
      <c r="G55" s="159" t="s">
        <v>9</v>
      </c>
      <c r="H55" s="56">
        <v>7.79</v>
      </c>
      <c r="I55" s="99">
        <v>6.23</v>
      </c>
      <c r="J55" s="60">
        <f t="shared" ref="J55:J57" si="35">($I$55-H55)*100/$I$55</f>
        <v>-25.040128410914921</v>
      </c>
    </row>
    <row r="56" spans="1:10" ht="24.75" customHeight="1" x14ac:dyDescent="0.25">
      <c r="A56" s="171"/>
      <c r="B56" s="174"/>
      <c r="C56" s="5" t="s">
        <v>10</v>
      </c>
      <c r="D56" s="6">
        <v>16</v>
      </c>
      <c r="E56" s="7"/>
      <c r="F56" s="7">
        <f t="shared" si="34"/>
        <v>46.666666666666664</v>
      </c>
      <c r="G56" s="148" t="s">
        <v>10</v>
      </c>
      <c r="H56" s="6">
        <v>8.26</v>
      </c>
      <c r="I56" s="7"/>
      <c r="J56" s="10">
        <f t="shared" si="35"/>
        <v>-32.584269662921336</v>
      </c>
    </row>
    <row r="57" spans="1:10" ht="24.75" customHeight="1" thickBot="1" x14ac:dyDescent="0.3">
      <c r="A57" s="179"/>
      <c r="B57" s="175"/>
      <c r="C57" s="11" t="s">
        <v>11</v>
      </c>
      <c r="D57" s="62">
        <v>11</v>
      </c>
      <c r="E57" s="13"/>
      <c r="F57" s="13">
        <f t="shared" si="34"/>
        <v>63.333333333333336</v>
      </c>
      <c r="G57" s="143" t="s">
        <v>11</v>
      </c>
      <c r="H57" s="62">
        <v>7.11</v>
      </c>
      <c r="I57" s="13"/>
      <c r="J57" s="66">
        <f t="shared" si="35"/>
        <v>-14.125200642054571</v>
      </c>
    </row>
    <row r="58" spans="1:10" ht="24.75" customHeight="1" x14ac:dyDescent="0.25">
      <c r="A58" s="185" t="s">
        <v>48</v>
      </c>
      <c r="B58" s="173" t="s">
        <v>49</v>
      </c>
      <c r="C58" s="55" t="s">
        <v>9</v>
      </c>
      <c r="D58" s="56">
        <v>12</v>
      </c>
      <c r="E58" s="57">
        <v>26</v>
      </c>
      <c r="F58" s="57">
        <f t="shared" ref="F58:F60" si="36">($E$58-D58)*100/$E$58</f>
        <v>53.846153846153847</v>
      </c>
      <c r="G58" s="152" t="s">
        <v>9</v>
      </c>
      <c r="H58" s="56">
        <v>6.92</v>
      </c>
      <c r="I58" s="57">
        <v>6.18</v>
      </c>
      <c r="J58" s="60">
        <f t="shared" ref="J58:J60" si="37">($I$58-H58)*100/$I$58</f>
        <v>-11.974110032362464</v>
      </c>
    </row>
    <row r="59" spans="1:10" ht="24.75" customHeight="1" x14ac:dyDescent="0.25">
      <c r="A59" s="171"/>
      <c r="B59" s="174"/>
      <c r="C59" s="5" t="s">
        <v>10</v>
      </c>
      <c r="D59" s="6">
        <v>12</v>
      </c>
      <c r="E59" s="7"/>
      <c r="F59" s="7">
        <f t="shared" si="36"/>
        <v>53.846153846153847</v>
      </c>
      <c r="G59" s="148" t="s">
        <v>10</v>
      </c>
      <c r="H59" s="6">
        <v>6.02</v>
      </c>
      <c r="I59" s="7"/>
      <c r="J59" s="10">
        <f t="shared" si="37"/>
        <v>2.5889967637540479</v>
      </c>
    </row>
    <row r="60" spans="1:10" ht="24.75" customHeight="1" thickBot="1" x14ac:dyDescent="0.3">
      <c r="A60" s="172"/>
      <c r="B60" s="175"/>
      <c r="C60" s="61" t="s">
        <v>11</v>
      </c>
      <c r="D60" s="62">
        <v>11</v>
      </c>
      <c r="E60" s="63"/>
      <c r="F60" s="63">
        <f t="shared" si="36"/>
        <v>57.692307692307693</v>
      </c>
      <c r="G60" s="153" t="s">
        <v>11</v>
      </c>
      <c r="H60" s="62">
        <v>7.42</v>
      </c>
      <c r="I60" s="63"/>
      <c r="J60" s="66">
        <f t="shared" si="37"/>
        <v>-20.064724919093855</v>
      </c>
    </row>
    <row r="61" spans="1:10" ht="24.75" customHeight="1" x14ac:dyDescent="0.25">
      <c r="A61" s="182" t="s">
        <v>50</v>
      </c>
      <c r="B61" s="183" t="s">
        <v>51</v>
      </c>
      <c r="C61" s="101" t="s">
        <v>9</v>
      </c>
      <c r="D61" s="102">
        <v>28</v>
      </c>
      <c r="E61" s="103">
        <v>50</v>
      </c>
      <c r="F61" s="103">
        <f t="shared" ref="F61:F63" si="38">($E$61-D61)*100/$E$61</f>
        <v>44</v>
      </c>
      <c r="G61" s="134" t="s">
        <v>9</v>
      </c>
      <c r="H61" s="102">
        <v>7.47</v>
      </c>
      <c r="I61" s="103">
        <v>7.46</v>
      </c>
      <c r="J61" s="106">
        <f t="shared" ref="J61:J63" si="39">($I$61-H61)*100/$I$61</f>
        <v>-0.1340482573726513</v>
      </c>
    </row>
    <row r="62" spans="1:10" ht="24.75" customHeight="1" x14ac:dyDescent="0.25">
      <c r="A62" s="171"/>
      <c r="B62" s="174"/>
      <c r="C62" s="108" t="s">
        <v>10</v>
      </c>
      <c r="D62" s="109">
        <v>16</v>
      </c>
      <c r="E62" s="110"/>
      <c r="F62" s="110">
        <f t="shared" si="38"/>
        <v>68</v>
      </c>
      <c r="G62" s="135" t="s">
        <v>10</v>
      </c>
      <c r="H62" s="109">
        <v>6.85</v>
      </c>
      <c r="I62" s="110"/>
      <c r="J62" s="113">
        <f t="shared" si="39"/>
        <v>8.1769436997319076</v>
      </c>
    </row>
    <row r="63" spans="1:10" ht="24.75" customHeight="1" thickBot="1" x14ac:dyDescent="0.3">
      <c r="A63" s="172"/>
      <c r="B63" s="175"/>
      <c r="C63" s="115" t="s">
        <v>11</v>
      </c>
      <c r="D63" s="116">
        <v>28</v>
      </c>
      <c r="E63" s="117"/>
      <c r="F63" s="117">
        <f t="shared" si="38"/>
        <v>44</v>
      </c>
      <c r="G63" s="136" t="s">
        <v>11</v>
      </c>
      <c r="H63" s="116">
        <v>7.38</v>
      </c>
      <c r="I63" s="117"/>
      <c r="J63" s="120">
        <f t="shared" si="39"/>
        <v>1.0723860589812342</v>
      </c>
    </row>
    <row r="64" spans="1:10" ht="24.75" customHeight="1" x14ac:dyDescent="0.25">
      <c r="A64" s="182" t="s">
        <v>52</v>
      </c>
      <c r="B64" s="183" t="s">
        <v>53</v>
      </c>
      <c r="C64" s="101" t="s">
        <v>9</v>
      </c>
      <c r="D64" s="102">
        <v>26</v>
      </c>
      <c r="E64" s="103">
        <v>54</v>
      </c>
      <c r="F64" s="103">
        <f t="shared" ref="F64:F66" si="40">($E$64-D64)*100/$E$64</f>
        <v>51.851851851851855</v>
      </c>
      <c r="G64" s="134" t="s">
        <v>9</v>
      </c>
      <c r="H64" s="102">
        <v>7.49</v>
      </c>
      <c r="I64" s="103">
        <v>8.0299999999999994</v>
      </c>
      <c r="J64" s="106">
        <f t="shared" ref="J64:J66" si="41">($I$64-H64)*100/$I$64</f>
        <v>6.7247820672478102</v>
      </c>
    </row>
    <row r="65" spans="1:10" ht="24.75" customHeight="1" x14ac:dyDescent="0.25">
      <c r="A65" s="171"/>
      <c r="B65" s="174"/>
      <c r="C65" s="108" t="s">
        <v>10</v>
      </c>
      <c r="D65" s="109">
        <v>12</v>
      </c>
      <c r="E65" s="110"/>
      <c r="F65" s="110">
        <f t="shared" si="40"/>
        <v>77.777777777777771</v>
      </c>
      <c r="G65" s="135" t="s">
        <v>10</v>
      </c>
      <c r="H65" s="109">
        <v>7.04</v>
      </c>
      <c r="I65" s="110"/>
      <c r="J65" s="113">
        <f t="shared" si="41"/>
        <v>12.328767123287664</v>
      </c>
    </row>
    <row r="66" spans="1:10" ht="24.75" customHeight="1" thickBot="1" x14ac:dyDescent="0.3">
      <c r="A66" s="172"/>
      <c r="B66" s="175"/>
      <c r="C66" s="115" t="s">
        <v>11</v>
      </c>
      <c r="D66" s="116">
        <v>26</v>
      </c>
      <c r="E66" s="117"/>
      <c r="F66" s="117">
        <f t="shared" si="40"/>
        <v>51.851851851851855</v>
      </c>
      <c r="G66" s="136" t="s">
        <v>11</v>
      </c>
      <c r="H66" s="116">
        <v>7.69</v>
      </c>
      <c r="I66" s="117"/>
      <c r="J66" s="120">
        <f t="shared" si="41"/>
        <v>4.234122042341208</v>
      </c>
    </row>
    <row r="67" spans="1:10" ht="24.75" customHeight="1" x14ac:dyDescent="0.25">
      <c r="A67" s="182" t="s">
        <v>54</v>
      </c>
      <c r="B67" s="183" t="s">
        <v>55</v>
      </c>
      <c r="C67" s="101" t="s">
        <v>9</v>
      </c>
      <c r="D67" s="102">
        <v>24</v>
      </c>
      <c r="E67" s="103">
        <v>50</v>
      </c>
      <c r="F67" s="103">
        <f t="shared" ref="F67:F69" si="42">($E$67-D67)*100/$E$67</f>
        <v>52</v>
      </c>
      <c r="G67" s="134" t="s">
        <v>9</v>
      </c>
      <c r="H67" s="102">
        <v>7.6</v>
      </c>
      <c r="I67" s="103">
        <v>7.66</v>
      </c>
      <c r="J67" s="106">
        <f t="shared" ref="J67:J69" si="43">($I$67-H67)*100/$I$67</f>
        <v>0.78328981723238245</v>
      </c>
    </row>
    <row r="68" spans="1:10" ht="24.75" customHeight="1" x14ac:dyDescent="0.25">
      <c r="A68" s="171"/>
      <c r="B68" s="174"/>
      <c r="C68" s="108" t="s">
        <v>10</v>
      </c>
      <c r="D68" s="109">
        <v>12</v>
      </c>
      <c r="E68" s="110"/>
      <c r="F68" s="110">
        <f t="shared" si="42"/>
        <v>76</v>
      </c>
      <c r="G68" s="135" t="s">
        <v>10</v>
      </c>
      <c r="H68" s="109">
        <v>6.96</v>
      </c>
      <c r="I68" s="110"/>
      <c r="J68" s="113">
        <f t="shared" si="43"/>
        <v>9.1383812010443872</v>
      </c>
    </row>
    <row r="69" spans="1:10" ht="24.75" customHeight="1" thickBot="1" x14ac:dyDescent="0.3">
      <c r="A69" s="172"/>
      <c r="B69" s="175"/>
      <c r="C69" s="115" t="s">
        <v>11</v>
      </c>
      <c r="D69" s="116">
        <v>26</v>
      </c>
      <c r="E69" s="117"/>
      <c r="F69" s="117">
        <f t="shared" si="42"/>
        <v>48</v>
      </c>
      <c r="G69" s="136" t="s">
        <v>11</v>
      </c>
      <c r="H69" s="116">
        <v>7.72</v>
      </c>
      <c r="I69" s="117"/>
      <c r="J69" s="120">
        <f t="shared" si="43"/>
        <v>-0.7832898172323709</v>
      </c>
    </row>
    <row r="70" spans="1:10" ht="24.75" customHeight="1" x14ac:dyDescent="0.25">
      <c r="A70" s="182" t="s">
        <v>56</v>
      </c>
      <c r="B70" s="183" t="s">
        <v>57</v>
      </c>
      <c r="C70" s="101" t="s">
        <v>9</v>
      </c>
      <c r="D70" s="102">
        <v>22</v>
      </c>
      <c r="E70" s="103">
        <v>58</v>
      </c>
      <c r="F70" s="103">
        <f t="shared" ref="F70:F72" si="44">($E$70-D70)*100/$E$70</f>
        <v>62.068965517241381</v>
      </c>
      <c r="G70" s="134" t="s">
        <v>9</v>
      </c>
      <c r="H70" s="102">
        <v>6.51</v>
      </c>
      <c r="I70" s="103">
        <v>7.04</v>
      </c>
      <c r="J70" s="106">
        <f t="shared" ref="J70:J72" si="45">($I$70-H70)*100/$I$70</f>
        <v>7.5284090909090953</v>
      </c>
    </row>
    <row r="71" spans="1:10" ht="24.75" customHeight="1" x14ac:dyDescent="0.25">
      <c r="A71" s="171"/>
      <c r="B71" s="174"/>
      <c r="C71" s="108" t="s">
        <v>10</v>
      </c>
      <c r="D71" s="109">
        <v>14</v>
      </c>
      <c r="E71" s="110"/>
      <c r="F71" s="110">
        <f t="shared" si="44"/>
        <v>75.862068965517238</v>
      </c>
      <c r="G71" s="135" t="s">
        <v>10</v>
      </c>
      <c r="H71" s="109">
        <v>6.4</v>
      </c>
      <c r="I71" s="110"/>
      <c r="J71" s="113">
        <f t="shared" si="45"/>
        <v>9.0909090909090864</v>
      </c>
    </row>
    <row r="72" spans="1:10" ht="24.75" customHeight="1" thickBot="1" x14ac:dyDescent="0.3">
      <c r="A72" s="172"/>
      <c r="B72" s="175"/>
      <c r="C72" s="115" t="s">
        <v>11</v>
      </c>
      <c r="D72" s="116">
        <v>24</v>
      </c>
      <c r="E72" s="117"/>
      <c r="F72" s="117">
        <f t="shared" si="44"/>
        <v>58.620689655172413</v>
      </c>
      <c r="G72" s="136" t="s">
        <v>11</v>
      </c>
      <c r="H72" s="116">
        <v>6.93</v>
      </c>
      <c r="I72" s="117"/>
      <c r="J72" s="120">
        <f t="shared" si="45"/>
        <v>1.5625000000000044</v>
      </c>
    </row>
    <row r="73" spans="1:10" ht="24.75" customHeight="1" x14ac:dyDescent="0.25">
      <c r="A73" s="182" t="s">
        <v>58</v>
      </c>
      <c r="B73" s="183" t="s">
        <v>59</v>
      </c>
      <c r="C73" s="101" t="s">
        <v>9</v>
      </c>
      <c r="D73" s="102">
        <v>26</v>
      </c>
      <c r="E73" s="103">
        <v>60</v>
      </c>
      <c r="F73" s="103">
        <f t="shared" ref="F73:F75" si="46">($E$73-D73)*100/$E$73</f>
        <v>56.666666666666664</v>
      </c>
      <c r="G73" s="134" t="s">
        <v>9</v>
      </c>
      <c r="H73" s="102">
        <v>6.15</v>
      </c>
      <c r="I73" s="103">
        <v>7.77</v>
      </c>
      <c r="J73" s="106">
        <f t="shared" ref="J73:J75" si="47">($I$73-H73)*100/$I$73</f>
        <v>20.849420849420838</v>
      </c>
    </row>
    <row r="74" spans="1:10" ht="24.75" customHeight="1" x14ac:dyDescent="0.25">
      <c r="A74" s="171"/>
      <c r="B74" s="174"/>
      <c r="C74" s="108" t="s">
        <v>10</v>
      </c>
      <c r="D74" s="109">
        <v>16</v>
      </c>
      <c r="E74" s="110"/>
      <c r="F74" s="110">
        <f t="shared" si="46"/>
        <v>73.333333333333329</v>
      </c>
      <c r="G74" s="135" t="s">
        <v>10</v>
      </c>
      <c r="H74" s="109">
        <v>5.9</v>
      </c>
      <c r="I74" s="110"/>
      <c r="J74" s="113">
        <f t="shared" si="47"/>
        <v>24.066924066924056</v>
      </c>
    </row>
    <row r="75" spans="1:10" ht="24.75" customHeight="1" thickBot="1" x14ac:dyDescent="0.3">
      <c r="A75" s="172"/>
      <c r="B75" s="175"/>
      <c r="C75" s="115" t="s">
        <v>11</v>
      </c>
      <c r="D75" s="116">
        <v>26</v>
      </c>
      <c r="E75" s="117"/>
      <c r="F75" s="117">
        <f t="shared" si="46"/>
        <v>56.666666666666664</v>
      </c>
      <c r="G75" s="136" t="s">
        <v>11</v>
      </c>
      <c r="H75" s="116">
        <v>6.34</v>
      </c>
      <c r="I75" s="117"/>
      <c r="J75" s="120">
        <f t="shared" si="47"/>
        <v>18.404118404118403</v>
      </c>
    </row>
    <row r="76" spans="1:10" ht="24.75" customHeight="1" x14ac:dyDescent="0.25">
      <c r="A76" s="182" t="s">
        <v>60</v>
      </c>
      <c r="B76" s="183" t="s">
        <v>61</v>
      </c>
      <c r="C76" s="101" t="s">
        <v>9</v>
      </c>
      <c r="D76" s="102">
        <v>30</v>
      </c>
      <c r="E76" s="103">
        <v>50</v>
      </c>
      <c r="F76" s="103">
        <f t="shared" ref="F76:F78" si="48">($E$76-D76)*100/$E$76</f>
        <v>40</v>
      </c>
      <c r="G76" s="134" t="s">
        <v>9</v>
      </c>
      <c r="H76" s="102">
        <v>7.41</v>
      </c>
      <c r="I76" s="103">
        <v>7.68</v>
      </c>
      <c r="J76" s="106">
        <f t="shared" ref="J76:J78" si="49">($I$76-H76)*100/$I$76</f>
        <v>3.5156249999999947</v>
      </c>
    </row>
    <row r="77" spans="1:10" ht="24.75" customHeight="1" x14ac:dyDescent="0.25">
      <c r="A77" s="171"/>
      <c r="B77" s="174"/>
      <c r="C77" s="108" t="s">
        <v>10</v>
      </c>
      <c r="D77" s="109">
        <v>16</v>
      </c>
      <c r="E77" s="110"/>
      <c r="F77" s="110">
        <f t="shared" si="48"/>
        <v>68</v>
      </c>
      <c r="G77" s="135" t="s">
        <v>10</v>
      </c>
      <c r="H77" s="109">
        <v>7.1</v>
      </c>
      <c r="I77" s="110"/>
      <c r="J77" s="113">
        <f t="shared" si="49"/>
        <v>7.5520833333333348</v>
      </c>
    </row>
    <row r="78" spans="1:10" ht="24.75" customHeight="1" thickBot="1" x14ac:dyDescent="0.3">
      <c r="A78" s="172"/>
      <c r="B78" s="175"/>
      <c r="C78" s="115" t="s">
        <v>11</v>
      </c>
      <c r="D78" s="116">
        <v>26</v>
      </c>
      <c r="E78" s="117"/>
      <c r="F78" s="117">
        <f t="shared" si="48"/>
        <v>48</v>
      </c>
      <c r="G78" s="136" t="s">
        <v>11</v>
      </c>
      <c r="H78" s="116">
        <v>6.62</v>
      </c>
      <c r="I78" s="117"/>
      <c r="J78" s="120">
        <f t="shared" si="49"/>
        <v>13.802083333333329</v>
      </c>
    </row>
    <row r="79" spans="1:10" ht="24.75" customHeight="1" x14ac:dyDescent="0.25">
      <c r="A79" s="184" t="s">
        <v>62</v>
      </c>
      <c r="B79" s="180" t="s">
        <v>63</v>
      </c>
      <c r="C79" s="67" t="s">
        <v>9</v>
      </c>
      <c r="D79" s="73">
        <v>22</v>
      </c>
      <c r="E79" s="69">
        <v>74</v>
      </c>
      <c r="F79" s="69">
        <f t="shared" ref="F79:F81" si="50">($E$79-D79)*100/$E$79</f>
        <v>70.270270270270274</v>
      </c>
      <c r="G79" s="154" t="s">
        <v>9</v>
      </c>
      <c r="H79" s="73">
        <v>5.85</v>
      </c>
      <c r="I79" s="69">
        <v>7.67</v>
      </c>
      <c r="J79" s="72">
        <f t="shared" ref="J79:J81" si="51">($I$79-H79)*100/$I$79</f>
        <v>23.728813559322038</v>
      </c>
    </row>
    <row r="80" spans="1:10" ht="24.75" customHeight="1" x14ac:dyDescent="0.25">
      <c r="A80" s="171"/>
      <c r="B80" s="174"/>
      <c r="C80" s="23" t="s">
        <v>10</v>
      </c>
      <c r="D80" s="24">
        <v>20</v>
      </c>
      <c r="E80" s="25"/>
      <c r="F80" s="25">
        <f t="shared" si="50"/>
        <v>72.972972972972968</v>
      </c>
      <c r="G80" s="138" t="s">
        <v>10</v>
      </c>
      <c r="H80" s="24">
        <v>7.86</v>
      </c>
      <c r="I80" s="25"/>
      <c r="J80" s="28">
        <f t="shared" si="51"/>
        <v>-2.4771838331160416</v>
      </c>
    </row>
    <row r="81" spans="1:10" ht="24.75" customHeight="1" thickBot="1" x14ac:dyDescent="0.3">
      <c r="A81" s="179"/>
      <c r="B81" s="181"/>
      <c r="C81" s="74" t="s">
        <v>11</v>
      </c>
      <c r="D81" s="79">
        <v>14</v>
      </c>
      <c r="E81" s="75"/>
      <c r="F81" s="75">
        <f t="shared" si="50"/>
        <v>81.081081081081081</v>
      </c>
      <c r="G81" s="155" t="s">
        <v>11</v>
      </c>
      <c r="H81" s="79">
        <v>7.46</v>
      </c>
      <c r="I81" s="75"/>
      <c r="J81" s="78">
        <f t="shared" si="51"/>
        <v>2.737940026075619</v>
      </c>
    </row>
    <row r="82" spans="1:10" ht="24.75" customHeight="1" x14ac:dyDescent="0.25">
      <c r="A82" s="182" t="s">
        <v>64</v>
      </c>
      <c r="B82" s="183" t="s">
        <v>65</v>
      </c>
      <c r="C82" s="101" t="s">
        <v>9</v>
      </c>
      <c r="D82" s="102">
        <v>30</v>
      </c>
      <c r="E82" s="103">
        <v>70</v>
      </c>
      <c r="F82" s="103">
        <f t="shared" ref="F82:F84" si="52">($E$82-D82)*100/$E$82</f>
        <v>57.142857142857146</v>
      </c>
      <c r="G82" s="134" t="s">
        <v>9</v>
      </c>
      <c r="H82" s="102">
        <v>6.77</v>
      </c>
      <c r="I82" s="103">
        <v>7.57</v>
      </c>
      <c r="J82" s="106">
        <f t="shared" ref="J82:J84" si="53">($I$82-H82)*100/$I$82</f>
        <v>10.568031704095121</v>
      </c>
    </row>
    <row r="83" spans="1:10" ht="24.75" customHeight="1" x14ac:dyDescent="0.25">
      <c r="A83" s="171"/>
      <c r="B83" s="174"/>
      <c r="C83" s="108" t="s">
        <v>10</v>
      </c>
      <c r="D83" s="109">
        <v>22</v>
      </c>
      <c r="E83" s="110"/>
      <c r="F83" s="110">
        <f t="shared" si="52"/>
        <v>68.571428571428569</v>
      </c>
      <c r="G83" s="135" t="s">
        <v>10</v>
      </c>
      <c r="H83" s="109">
        <v>6.91</v>
      </c>
      <c r="I83" s="110"/>
      <c r="J83" s="113">
        <f t="shared" si="53"/>
        <v>8.7186261558784697</v>
      </c>
    </row>
    <row r="84" spans="1:10" ht="24.75" customHeight="1" thickBot="1" x14ac:dyDescent="0.3">
      <c r="A84" s="172"/>
      <c r="B84" s="175"/>
      <c r="C84" s="115" t="s">
        <v>11</v>
      </c>
      <c r="D84" s="116">
        <v>16</v>
      </c>
      <c r="E84" s="117"/>
      <c r="F84" s="117">
        <f t="shared" si="52"/>
        <v>77.142857142857139</v>
      </c>
      <c r="G84" s="136" t="s">
        <v>11</v>
      </c>
      <c r="H84" s="116">
        <v>7.23</v>
      </c>
      <c r="I84" s="117"/>
      <c r="J84" s="120">
        <f t="shared" si="53"/>
        <v>4.4914134742404208</v>
      </c>
    </row>
    <row r="85" spans="1:10" ht="24.75" customHeight="1" x14ac:dyDescent="0.25">
      <c r="A85" s="182" t="s">
        <v>66</v>
      </c>
      <c r="B85" s="183" t="s">
        <v>67</v>
      </c>
      <c r="C85" s="101" t="s">
        <v>9</v>
      </c>
      <c r="D85" s="102">
        <v>34</v>
      </c>
      <c r="E85" s="103">
        <v>64</v>
      </c>
      <c r="F85" s="103">
        <f t="shared" ref="F85:F87" si="54">($E$85-D85)*100/$E$85</f>
        <v>46.875</v>
      </c>
      <c r="G85" s="134" t="s">
        <v>9</v>
      </c>
      <c r="H85" s="102">
        <v>7.19</v>
      </c>
      <c r="I85" s="103">
        <v>7.74</v>
      </c>
      <c r="J85" s="106">
        <f t="shared" ref="J85:J87" si="55">($I$85-H85)*100/$I$85</f>
        <v>7.1059431524547785</v>
      </c>
    </row>
    <row r="86" spans="1:10" ht="24.75" customHeight="1" x14ac:dyDescent="0.25">
      <c r="A86" s="171"/>
      <c r="B86" s="174"/>
      <c r="C86" s="108" t="s">
        <v>10</v>
      </c>
      <c r="D86" s="109">
        <v>30</v>
      </c>
      <c r="E86" s="110"/>
      <c r="F86" s="110">
        <f t="shared" si="54"/>
        <v>53.125</v>
      </c>
      <c r="G86" s="135" t="s">
        <v>10</v>
      </c>
      <c r="H86" s="109">
        <v>7.44</v>
      </c>
      <c r="I86" s="110"/>
      <c r="J86" s="113">
        <f t="shared" si="55"/>
        <v>3.8759689922480596</v>
      </c>
    </row>
    <row r="87" spans="1:10" ht="24.75" customHeight="1" thickBot="1" x14ac:dyDescent="0.3">
      <c r="A87" s="172"/>
      <c r="B87" s="175"/>
      <c r="C87" s="115" t="s">
        <v>11</v>
      </c>
      <c r="D87" s="116">
        <v>20</v>
      </c>
      <c r="E87" s="117"/>
      <c r="F87" s="117">
        <f t="shared" si="54"/>
        <v>68.75</v>
      </c>
      <c r="G87" s="136" t="s">
        <v>11</v>
      </c>
      <c r="H87" s="116">
        <v>7.11</v>
      </c>
      <c r="I87" s="117"/>
      <c r="J87" s="120">
        <f t="shared" si="55"/>
        <v>8.1395348837209287</v>
      </c>
    </row>
    <row r="88" spans="1:10" ht="24.75" customHeight="1" x14ac:dyDescent="0.25">
      <c r="A88" s="178" t="s">
        <v>68</v>
      </c>
      <c r="B88" s="180" t="s">
        <v>69</v>
      </c>
      <c r="C88" s="67" t="s">
        <v>9</v>
      </c>
      <c r="D88" s="73">
        <v>20</v>
      </c>
      <c r="E88" s="69">
        <v>64</v>
      </c>
      <c r="F88" s="69">
        <f t="shared" ref="F88:F90" si="56">($E$88-D88)*100/$E$88</f>
        <v>68.75</v>
      </c>
      <c r="G88" s="154" t="s">
        <v>9</v>
      </c>
      <c r="H88" s="73">
        <v>7.07</v>
      </c>
      <c r="I88" s="69">
        <v>6.95</v>
      </c>
      <c r="J88" s="72">
        <f t="shared" ref="J88:J90" si="57">($I$88-H88)*100/$I$88</f>
        <v>-1.7266187050359727</v>
      </c>
    </row>
    <row r="89" spans="1:10" ht="24.75" customHeight="1" x14ac:dyDescent="0.25">
      <c r="A89" s="171"/>
      <c r="B89" s="174"/>
      <c r="C89" s="23" t="s">
        <v>10</v>
      </c>
      <c r="D89" s="24">
        <v>20</v>
      </c>
      <c r="E89" s="25"/>
      <c r="F89" s="25">
        <f t="shared" si="56"/>
        <v>68.75</v>
      </c>
      <c r="G89" s="138" t="s">
        <v>10</v>
      </c>
      <c r="H89" s="24">
        <v>6.78</v>
      </c>
      <c r="I89" s="25"/>
      <c r="J89" s="28">
        <f t="shared" si="57"/>
        <v>2.4460431654676249</v>
      </c>
    </row>
    <row r="90" spans="1:10" ht="24.75" customHeight="1" thickBot="1" x14ac:dyDescent="0.3">
      <c r="A90" s="179"/>
      <c r="B90" s="181"/>
      <c r="C90" s="74" t="s">
        <v>11</v>
      </c>
      <c r="D90" s="79">
        <v>18</v>
      </c>
      <c r="E90" s="75"/>
      <c r="F90" s="75">
        <f t="shared" si="56"/>
        <v>71.875</v>
      </c>
      <c r="G90" s="155" t="s">
        <v>11</v>
      </c>
      <c r="H90" s="79">
        <v>6.54</v>
      </c>
      <c r="I90" s="75"/>
      <c r="J90" s="78">
        <f t="shared" si="57"/>
        <v>5.8992805755395699</v>
      </c>
    </row>
    <row r="91" spans="1:10" ht="24.75" customHeight="1" x14ac:dyDescent="0.25">
      <c r="A91" s="170" t="s">
        <v>70</v>
      </c>
      <c r="B91" s="183" t="s">
        <v>76</v>
      </c>
      <c r="C91" s="160" t="s">
        <v>9</v>
      </c>
      <c r="D91" s="130">
        <v>20</v>
      </c>
      <c r="E91" s="131">
        <v>68</v>
      </c>
      <c r="F91" s="131">
        <f t="shared" ref="F91:F93" si="58">($E$91-D91)*100/$E$91</f>
        <v>70.588235294117652</v>
      </c>
      <c r="G91" s="134" t="s">
        <v>9</v>
      </c>
      <c r="H91" s="102">
        <v>7.11</v>
      </c>
      <c r="I91" s="103">
        <v>6.9</v>
      </c>
      <c r="J91" s="106">
        <f t="shared" ref="J91:J93" si="59">($I$91-H91)*100/$I$91</f>
        <v>-3.0434782608695645</v>
      </c>
    </row>
    <row r="92" spans="1:10" ht="24.75" customHeight="1" x14ac:dyDescent="0.25">
      <c r="A92" s="171"/>
      <c r="B92" s="174"/>
      <c r="C92" s="108" t="s">
        <v>10</v>
      </c>
      <c r="D92" s="109">
        <v>20</v>
      </c>
      <c r="E92" s="110"/>
      <c r="F92" s="110">
        <f t="shared" si="58"/>
        <v>70.588235294117652</v>
      </c>
      <c r="G92" s="135" t="s">
        <v>10</v>
      </c>
      <c r="H92" s="109">
        <v>6.81</v>
      </c>
      <c r="I92" s="110"/>
      <c r="J92" s="113">
        <f t="shared" si="59"/>
        <v>1.3043478260869672</v>
      </c>
    </row>
    <row r="93" spans="1:10" ht="24.75" customHeight="1" thickBot="1" x14ac:dyDescent="0.3">
      <c r="A93" s="172"/>
      <c r="B93" s="175"/>
      <c r="C93" s="115" t="s">
        <v>11</v>
      </c>
      <c r="D93" s="116">
        <v>20</v>
      </c>
      <c r="E93" s="117"/>
      <c r="F93" s="117">
        <f t="shared" si="58"/>
        <v>70.588235294117652</v>
      </c>
      <c r="G93" s="136" t="s">
        <v>11</v>
      </c>
      <c r="H93" s="116">
        <v>6.28</v>
      </c>
      <c r="I93" s="117"/>
      <c r="J93" s="120">
        <f t="shared" si="59"/>
        <v>8.9855072463768124</v>
      </c>
    </row>
    <row r="94" spans="1:10" ht="24.75" customHeight="1" x14ac:dyDescent="0.25">
      <c r="A94" s="176" t="s">
        <v>72</v>
      </c>
      <c r="B94" s="177" t="s">
        <v>73</v>
      </c>
      <c r="C94" s="17" t="s">
        <v>9</v>
      </c>
      <c r="D94" s="18">
        <v>20</v>
      </c>
      <c r="E94" s="19">
        <v>60</v>
      </c>
      <c r="F94" s="19">
        <f t="shared" ref="F94:F96" si="60">($E$94-D94)*100/$E$94</f>
        <v>66.666666666666671</v>
      </c>
      <c r="G94" s="137" t="s">
        <v>9</v>
      </c>
      <c r="H94" s="18">
        <v>7.08</v>
      </c>
      <c r="I94" s="19">
        <v>7.78</v>
      </c>
      <c r="J94" s="22">
        <f t="shared" ref="J94:J96" si="61">($I$94-H94)*100/$I$94</f>
        <v>8.9974293059125987</v>
      </c>
    </row>
    <row r="95" spans="1:10" ht="24.75" customHeight="1" x14ac:dyDescent="0.25">
      <c r="A95" s="171"/>
      <c r="B95" s="174"/>
      <c r="C95" s="23" t="s">
        <v>10</v>
      </c>
      <c r="D95" s="24">
        <v>26</v>
      </c>
      <c r="E95" s="25"/>
      <c r="F95" s="25">
        <f t="shared" si="60"/>
        <v>56.666666666666664</v>
      </c>
      <c r="G95" s="138" t="s">
        <v>10</v>
      </c>
      <c r="H95" s="24">
        <v>6.57</v>
      </c>
      <c r="I95" s="25"/>
      <c r="J95" s="28">
        <f t="shared" si="61"/>
        <v>15.552699228791774</v>
      </c>
    </row>
    <row r="96" spans="1:10" ht="24.75" customHeight="1" thickBot="1" x14ac:dyDescent="0.3">
      <c r="A96" s="172"/>
      <c r="B96" s="175"/>
      <c r="C96" s="29" t="s">
        <v>11</v>
      </c>
      <c r="D96" s="30">
        <v>20</v>
      </c>
      <c r="E96" s="31"/>
      <c r="F96" s="31">
        <f t="shared" si="60"/>
        <v>66.666666666666671</v>
      </c>
      <c r="G96" s="139" t="s">
        <v>11</v>
      </c>
      <c r="H96" s="30">
        <v>6.72</v>
      </c>
      <c r="I96" s="31"/>
      <c r="J96" s="34">
        <f t="shared" si="61"/>
        <v>13.624678663239081</v>
      </c>
    </row>
    <row r="97" spans="1:10" ht="15.75" customHeight="1" x14ac:dyDescent="0.25">
      <c r="A97" s="141"/>
      <c r="D97" s="142"/>
      <c r="E97" s="142"/>
      <c r="F97" s="142"/>
      <c r="H97" s="142"/>
      <c r="I97" s="142"/>
      <c r="J97" s="142"/>
    </row>
    <row r="98" spans="1:10" ht="15.75" customHeight="1" x14ac:dyDescent="0.25">
      <c r="A98" s="141"/>
      <c r="D98" s="142"/>
      <c r="E98" s="142"/>
      <c r="F98" s="142"/>
      <c r="H98" s="142"/>
      <c r="I98" s="142"/>
      <c r="J98" s="142"/>
    </row>
    <row r="99" spans="1:10" ht="15.75" customHeight="1" x14ac:dyDescent="0.25">
      <c r="A99" s="141"/>
      <c r="D99" s="142"/>
      <c r="E99" s="142"/>
      <c r="F99" s="142"/>
      <c r="H99" s="142"/>
      <c r="I99" s="142"/>
      <c r="J99" s="142"/>
    </row>
    <row r="100" spans="1:10" ht="15.75" customHeight="1" x14ac:dyDescent="0.25">
      <c r="A100" s="141"/>
      <c r="D100" s="142"/>
      <c r="E100" s="142"/>
      <c r="F100" s="142"/>
      <c r="H100" s="142"/>
      <c r="I100" s="142"/>
      <c r="J100" s="142"/>
    </row>
    <row r="101" spans="1:10" ht="15.75" customHeight="1" x14ac:dyDescent="0.25">
      <c r="A101" s="141"/>
      <c r="D101" s="142"/>
      <c r="E101" s="142"/>
      <c r="F101" s="142"/>
      <c r="H101" s="142"/>
      <c r="I101" s="142"/>
      <c r="J101" s="142"/>
    </row>
    <row r="102" spans="1:10" ht="15.75" customHeight="1" x14ac:dyDescent="0.25">
      <c r="A102" s="141"/>
      <c r="D102" s="142"/>
      <c r="E102" s="142"/>
      <c r="F102" s="142"/>
      <c r="H102" s="142"/>
      <c r="I102" s="142"/>
      <c r="J102" s="142"/>
    </row>
    <row r="103" spans="1:10" ht="15.75" customHeight="1" x14ac:dyDescent="0.25">
      <c r="A103" s="141"/>
      <c r="D103" s="142"/>
      <c r="E103" s="142"/>
      <c r="F103" s="142"/>
      <c r="H103" s="142"/>
      <c r="I103" s="142"/>
      <c r="J103" s="142"/>
    </row>
    <row r="104" spans="1:10" ht="15.75" customHeight="1" x14ac:dyDescent="0.25">
      <c r="A104" s="141"/>
      <c r="D104" s="142"/>
      <c r="E104" s="142"/>
      <c r="F104" s="142"/>
      <c r="H104" s="142"/>
      <c r="I104" s="142"/>
      <c r="J104" s="142"/>
    </row>
    <row r="105" spans="1:10" ht="15.75" customHeight="1" x14ac:dyDescent="0.25">
      <c r="A105" s="141"/>
      <c r="D105" s="142"/>
      <c r="E105" s="142"/>
      <c r="F105" s="142"/>
      <c r="H105" s="142"/>
      <c r="I105" s="142"/>
      <c r="J105" s="142"/>
    </row>
    <row r="106" spans="1:10" ht="15.75" customHeight="1" x14ac:dyDescent="0.25">
      <c r="A106" s="141"/>
      <c r="D106" s="142"/>
      <c r="E106" s="142"/>
      <c r="F106" s="142"/>
      <c r="H106" s="142"/>
      <c r="I106" s="142"/>
      <c r="J106" s="142"/>
    </row>
    <row r="107" spans="1:10" ht="15.75" customHeight="1" x14ac:dyDescent="0.25">
      <c r="A107" s="141"/>
      <c r="D107" s="142"/>
      <c r="E107" s="142"/>
      <c r="F107" s="142"/>
      <c r="H107" s="142"/>
      <c r="I107" s="142"/>
      <c r="J107" s="142"/>
    </row>
    <row r="108" spans="1:10" ht="15.75" customHeight="1" x14ac:dyDescent="0.25">
      <c r="A108" s="141"/>
      <c r="D108" s="142"/>
      <c r="E108" s="142"/>
      <c r="F108" s="142"/>
      <c r="H108" s="142"/>
      <c r="I108" s="142"/>
      <c r="J108" s="142"/>
    </row>
    <row r="109" spans="1:10" ht="15.75" customHeight="1" x14ac:dyDescent="0.25">
      <c r="A109" s="141"/>
      <c r="D109" s="142"/>
      <c r="E109" s="142"/>
      <c r="F109" s="142"/>
      <c r="H109" s="142"/>
      <c r="I109" s="142"/>
      <c r="J109" s="142"/>
    </row>
    <row r="110" spans="1:10" ht="15.75" customHeight="1" x14ac:dyDescent="0.25">
      <c r="A110" s="141"/>
      <c r="D110" s="142"/>
      <c r="E110" s="142"/>
      <c r="F110" s="142"/>
      <c r="H110" s="142"/>
      <c r="I110" s="142"/>
      <c r="J110" s="142"/>
    </row>
    <row r="111" spans="1:10" ht="15.75" customHeight="1" x14ac:dyDescent="0.25">
      <c r="A111" s="141"/>
      <c r="D111" s="142"/>
      <c r="E111" s="142"/>
      <c r="F111" s="142"/>
      <c r="H111" s="142"/>
      <c r="I111" s="142"/>
      <c r="J111" s="142"/>
    </row>
    <row r="112" spans="1:10" ht="15.75" customHeight="1" x14ac:dyDescent="0.25">
      <c r="A112" s="141"/>
      <c r="D112" s="142"/>
      <c r="E112" s="142"/>
      <c r="F112" s="142"/>
      <c r="H112" s="142"/>
      <c r="I112" s="142"/>
      <c r="J112" s="142"/>
    </row>
    <row r="113" spans="1:10" ht="15.75" customHeight="1" x14ac:dyDescent="0.25">
      <c r="A113" s="141"/>
      <c r="D113" s="142"/>
      <c r="E113" s="142"/>
      <c r="F113" s="142"/>
      <c r="H113" s="142"/>
      <c r="I113" s="142"/>
      <c r="J113" s="142"/>
    </row>
    <row r="114" spans="1:10" ht="15.75" customHeight="1" x14ac:dyDescent="0.25">
      <c r="A114" s="141"/>
      <c r="D114" s="142"/>
      <c r="E114" s="142"/>
      <c r="F114" s="142"/>
      <c r="H114" s="142"/>
      <c r="I114" s="142"/>
      <c r="J114" s="142"/>
    </row>
    <row r="115" spans="1:10" ht="15.75" customHeight="1" x14ac:dyDescent="0.25">
      <c r="A115" s="141"/>
      <c r="D115" s="142"/>
      <c r="E115" s="142"/>
      <c r="F115" s="142"/>
      <c r="H115" s="142"/>
      <c r="I115" s="142"/>
      <c r="J115" s="142"/>
    </row>
    <row r="116" spans="1:10" ht="15.75" customHeight="1" x14ac:dyDescent="0.25">
      <c r="A116" s="141"/>
      <c r="D116" s="142"/>
      <c r="E116" s="142"/>
      <c r="F116" s="142"/>
      <c r="H116" s="142"/>
      <c r="I116" s="142"/>
      <c r="J116" s="142"/>
    </row>
    <row r="117" spans="1:10" ht="15.75" customHeight="1" x14ac:dyDescent="0.25">
      <c r="A117" s="141"/>
      <c r="D117" s="142"/>
      <c r="E117" s="142"/>
      <c r="F117" s="142"/>
      <c r="H117" s="142"/>
      <c r="I117" s="142"/>
      <c r="J117" s="142"/>
    </row>
    <row r="118" spans="1:10" ht="15.75" customHeight="1" x14ac:dyDescent="0.25">
      <c r="A118" s="141"/>
      <c r="D118" s="142"/>
      <c r="E118" s="142"/>
      <c r="F118" s="142"/>
      <c r="H118" s="142"/>
      <c r="I118" s="142"/>
      <c r="J118" s="142"/>
    </row>
    <row r="119" spans="1:10" ht="15.75" customHeight="1" x14ac:dyDescent="0.25">
      <c r="A119" s="141"/>
      <c r="D119" s="142"/>
      <c r="E119" s="142"/>
      <c r="F119" s="142"/>
      <c r="H119" s="142"/>
      <c r="I119" s="142"/>
      <c r="J119" s="142"/>
    </row>
    <row r="120" spans="1:10" ht="15.75" customHeight="1" x14ac:dyDescent="0.25">
      <c r="A120" s="141"/>
      <c r="D120" s="142"/>
      <c r="E120" s="142"/>
      <c r="F120" s="142"/>
      <c r="H120" s="142"/>
      <c r="I120" s="142"/>
      <c r="J120" s="142"/>
    </row>
    <row r="121" spans="1:10" ht="15.75" customHeight="1" x14ac:dyDescent="0.25">
      <c r="A121" s="141"/>
      <c r="D121" s="142"/>
      <c r="E121" s="142"/>
      <c r="F121" s="142"/>
      <c r="H121" s="142"/>
      <c r="I121" s="142"/>
      <c r="J121" s="142"/>
    </row>
    <row r="122" spans="1:10" ht="15.75" customHeight="1" x14ac:dyDescent="0.25">
      <c r="A122" s="141"/>
      <c r="D122" s="142"/>
      <c r="E122" s="142"/>
      <c r="F122" s="142"/>
      <c r="H122" s="142"/>
      <c r="I122" s="142"/>
      <c r="J122" s="142"/>
    </row>
    <row r="123" spans="1:10" ht="15.75" customHeight="1" x14ac:dyDescent="0.25">
      <c r="A123" s="141"/>
      <c r="D123" s="142"/>
      <c r="E123" s="142"/>
      <c r="F123" s="142"/>
      <c r="H123" s="142"/>
      <c r="I123" s="142"/>
      <c r="J123" s="142"/>
    </row>
    <row r="124" spans="1:10" ht="15.75" customHeight="1" x14ac:dyDescent="0.25">
      <c r="A124" s="141"/>
      <c r="D124" s="142"/>
      <c r="E124" s="142"/>
      <c r="F124" s="142"/>
      <c r="H124" s="142"/>
      <c r="I124" s="142"/>
      <c r="J124" s="142"/>
    </row>
    <row r="125" spans="1:10" ht="15.75" customHeight="1" x14ac:dyDescent="0.25">
      <c r="A125" s="141"/>
      <c r="D125" s="142"/>
      <c r="E125" s="142"/>
      <c r="F125" s="142"/>
      <c r="H125" s="142"/>
      <c r="I125" s="142"/>
      <c r="J125" s="142"/>
    </row>
    <row r="126" spans="1:10" ht="15.75" customHeight="1" x14ac:dyDescent="0.25">
      <c r="A126" s="141"/>
      <c r="D126" s="142"/>
      <c r="E126" s="142"/>
      <c r="F126" s="142"/>
      <c r="H126" s="142"/>
      <c r="I126" s="142"/>
      <c r="J126" s="142"/>
    </row>
    <row r="127" spans="1:10" ht="15.75" customHeight="1" x14ac:dyDescent="0.25">
      <c r="A127" s="141"/>
      <c r="D127" s="142"/>
      <c r="E127" s="142"/>
      <c r="F127" s="142"/>
      <c r="H127" s="142"/>
      <c r="I127" s="142"/>
      <c r="J127" s="142"/>
    </row>
    <row r="128" spans="1:10" ht="15.75" customHeight="1" x14ac:dyDescent="0.25">
      <c r="A128" s="141"/>
      <c r="D128" s="142"/>
      <c r="E128" s="142"/>
      <c r="F128" s="142"/>
      <c r="H128" s="142"/>
      <c r="I128" s="142"/>
      <c r="J128" s="142"/>
    </row>
    <row r="129" spans="1:10" ht="15.75" customHeight="1" x14ac:dyDescent="0.25">
      <c r="A129" s="141"/>
      <c r="D129" s="142"/>
      <c r="E129" s="142"/>
      <c r="F129" s="142"/>
      <c r="H129" s="142"/>
      <c r="I129" s="142"/>
      <c r="J129" s="142"/>
    </row>
    <row r="130" spans="1:10" ht="15.75" customHeight="1" x14ac:dyDescent="0.25">
      <c r="A130" s="141"/>
      <c r="D130" s="142"/>
      <c r="E130" s="142"/>
      <c r="F130" s="142"/>
      <c r="H130" s="142"/>
      <c r="I130" s="142"/>
      <c r="J130" s="142"/>
    </row>
    <row r="131" spans="1:10" ht="15.75" customHeight="1" x14ac:dyDescent="0.25">
      <c r="A131" s="141"/>
      <c r="D131" s="142"/>
      <c r="E131" s="142"/>
      <c r="F131" s="142"/>
      <c r="H131" s="142"/>
      <c r="I131" s="142"/>
      <c r="J131" s="142"/>
    </row>
    <row r="132" spans="1:10" ht="15.75" customHeight="1" x14ac:dyDescent="0.25">
      <c r="A132" s="141"/>
      <c r="D132" s="142"/>
      <c r="E132" s="142"/>
      <c r="F132" s="142"/>
      <c r="H132" s="142"/>
      <c r="I132" s="142"/>
      <c r="J132" s="142"/>
    </row>
    <row r="133" spans="1:10" ht="15.75" customHeight="1" x14ac:dyDescent="0.25">
      <c r="A133" s="141"/>
      <c r="D133" s="142"/>
      <c r="E133" s="142"/>
      <c r="F133" s="142"/>
      <c r="H133" s="142"/>
      <c r="I133" s="142"/>
      <c r="J133" s="142"/>
    </row>
    <row r="134" spans="1:10" ht="15.75" customHeight="1" x14ac:dyDescent="0.25">
      <c r="A134" s="141"/>
      <c r="D134" s="142"/>
      <c r="E134" s="142"/>
      <c r="F134" s="142"/>
      <c r="H134" s="142"/>
      <c r="I134" s="142"/>
      <c r="J134" s="142"/>
    </row>
    <row r="135" spans="1:10" ht="15.75" customHeight="1" x14ac:dyDescent="0.25">
      <c r="A135" s="141"/>
      <c r="D135" s="142"/>
      <c r="E135" s="142"/>
      <c r="F135" s="142"/>
      <c r="H135" s="142"/>
      <c r="I135" s="142"/>
      <c r="J135" s="142"/>
    </row>
    <row r="136" spans="1:10" ht="15.75" customHeight="1" x14ac:dyDescent="0.25">
      <c r="A136" s="141"/>
      <c r="D136" s="142"/>
      <c r="E136" s="142"/>
      <c r="F136" s="142"/>
      <c r="H136" s="142"/>
      <c r="I136" s="142"/>
      <c r="J136" s="142"/>
    </row>
    <row r="137" spans="1:10" ht="15.75" customHeight="1" x14ac:dyDescent="0.25">
      <c r="A137" s="141"/>
      <c r="D137" s="142"/>
      <c r="E137" s="142"/>
      <c r="F137" s="142"/>
      <c r="H137" s="142"/>
      <c r="I137" s="142"/>
      <c r="J137" s="142"/>
    </row>
    <row r="138" spans="1:10" ht="15.75" customHeight="1" x14ac:dyDescent="0.25">
      <c r="A138" s="141"/>
      <c r="D138" s="142"/>
      <c r="E138" s="142"/>
      <c r="F138" s="142"/>
      <c r="H138" s="142"/>
      <c r="I138" s="142"/>
      <c r="J138" s="142"/>
    </row>
    <row r="139" spans="1:10" ht="15.75" customHeight="1" x14ac:dyDescent="0.25">
      <c r="A139" s="141"/>
      <c r="D139" s="142"/>
      <c r="E139" s="142"/>
      <c r="F139" s="142"/>
      <c r="H139" s="142"/>
      <c r="I139" s="142"/>
      <c r="J139" s="142"/>
    </row>
    <row r="140" spans="1:10" ht="15.75" customHeight="1" x14ac:dyDescent="0.25">
      <c r="A140" s="141"/>
      <c r="D140" s="142"/>
      <c r="E140" s="142"/>
      <c r="F140" s="142"/>
      <c r="H140" s="142"/>
      <c r="I140" s="142"/>
      <c r="J140" s="142"/>
    </row>
    <row r="141" spans="1:10" ht="15.75" customHeight="1" x14ac:dyDescent="0.25">
      <c r="A141" s="141"/>
      <c r="D141" s="142"/>
      <c r="E141" s="142"/>
      <c r="F141" s="142"/>
      <c r="H141" s="142"/>
      <c r="I141" s="142"/>
      <c r="J141" s="142"/>
    </row>
    <row r="142" spans="1:10" ht="15.75" customHeight="1" x14ac:dyDescent="0.25">
      <c r="A142" s="141"/>
      <c r="D142" s="142"/>
      <c r="E142" s="142"/>
      <c r="F142" s="142"/>
      <c r="H142" s="142"/>
      <c r="I142" s="142"/>
      <c r="J142" s="142"/>
    </row>
    <row r="143" spans="1:10" ht="15.75" customHeight="1" x14ac:dyDescent="0.25">
      <c r="A143" s="141"/>
      <c r="D143" s="142"/>
      <c r="E143" s="142"/>
      <c r="F143" s="142"/>
      <c r="H143" s="142"/>
      <c r="I143" s="142"/>
      <c r="J143" s="142"/>
    </row>
    <row r="144" spans="1:10" ht="15.75" customHeight="1" x14ac:dyDescent="0.25">
      <c r="A144" s="141"/>
      <c r="D144" s="142"/>
      <c r="E144" s="142"/>
      <c r="F144" s="142"/>
      <c r="H144" s="142"/>
      <c r="I144" s="142"/>
      <c r="J144" s="142"/>
    </row>
    <row r="145" spans="1:10" ht="15.75" customHeight="1" x14ac:dyDescent="0.25">
      <c r="A145" s="141"/>
      <c r="D145" s="142"/>
      <c r="E145" s="142"/>
      <c r="F145" s="142"/>
      <c r="H145" s="142"/>
      <c r="I145" s="142"/>
      <c r="J145" s="142"/>
    </row>
    <row r="146" spans="1:10" ht="15.75" customHeight="1" x14ac:dyDescent="0.25">
      <c r="A146" s="141"/>
      <c r="D146" s="142"/>
      <c r="E146" s="142"/>
      <c r="F146" s="142"/>
      <c r="H146" s="142"/>
      <c r="I146" s="142"/>
      <c r="J146" s="142"/>
    </row>
    <row r="147" spans="1:10" ht="15.75" customHeight="1" x14ac:dyDescent="0.25">
      <c r="A147" s="141"/>
      <c r="D147" s="142"/>
      <c r="E147" s="142"/>
      <c r="F147" s="142"/>
      <c r="H147" s="142"/>
      <c r="I147" s="142"/>
      <c r="J147" s="142"/>
    </row>
    <row r="148" spans="1:10" ht="15.75" customHeight="1" x14ac:dyDescent="0.25">
      <c r="A148" s="141"/>
      <c r="D148" s="142"/>
      <c r="E148" s="142"/>
      <c r="F148" s="142"/>
      <c r="H148" s="142"/>
      <c r="I148" s="142"/>
      <c r="J148" s="142"/>
    </row>
    <row r="149" spans="1:10" ht="15.75" customHeight="1" x14ac:dyDescent="0.25">
      <c r="A149" s="141"/>
      <c r="D149" s="142"/>
      <c r="E149" s="142"/>
      <c r="F149" s="142"/>
      <c r="H149" s="142"/>
      <c r="I149" s="142"/>
      <c r="J149" s="142"/>
    </row>
    <row r="150" spans="1:10" ht="15.75" customHeight="1" x14ac:dyDescent="0.25">
      <c r="A150" s="141"/>
      <c r="D150" s="142"/>
      <c r="E150" s="142"/>
      <c r="F150" s="142"/>
      <c r="H150" s="142"/>
      <c r="I150" s="142"/>
      <c r="J150" s="142"/>
    </row>
    <row r="151" spans="1:10" ht="15.75" customHeight="1" x14ac:dyDescent="0.25">
      <c r="A151" s="141"/>
      <c r="D151" s="142"/>
      <c r="E151" s="142"/>
      <c r="F151" s="142"/>
      <c r="H151" s="142"/>
      <c r="I151" s="142"/>
      <c r="J151" s="142"/>
    </row>
    <row r="152" spans="1:10" ht="15.75" customHeight="1" x14ac:dyDescent="0.25">
      <c r="A152" s="141"/>
      <c r="D152" s="142"/>
      <c r="E152" s="142"/>
      <c r="F152" s="142"/>
      <c r="H152" s="142"/>
      <c r="I152" s="142"/>
      <c r="J152" s="142"/>
    </row>
    <row r="153" spans="1:10" ht="15.75" customHeight="1" x14ac:dyDescent="0.25">
      <c r="A153" s="141"/>
      <c r="D153" s="142"/>
      <c r="E153" s="142"/>
      <c r="F153" s="142"/>
      <c r="H153" s="142"/>
      <c r="I153" s="142"/>
      <c r="J153" s="142"/>
    </row>
    <row r="154" spans="1:10" ht="15.75" customHeight="1" x14ac:dyDescent="0.25">
      <c r="A154" s="141"/>
      <c r="D154" s="142"/>
      <c r="E154" s="142"/>
      <c r="F154" s="142"/>
      <c r="H154" s="142"/>
      <c r="I154" s="142"/>
      <c r="J154" s="142"/>
    </row>
    <row r="155" spans="1:10" ht="15.75" customHeight="1" x14ac:dyDescent="0.25">
      <c r="A155" s="141"/>
      <c r="D155" s="142"/>
      <c r="E155" s="142"/>
      <c r="F155" s="142"/>
      <c r="H155" s="142"/>
      <c r="I155" s="142"/>
      <c r="J155" s="142"/>
    </row>
    <row r="156" spans="1:10" ht="15.75" customHeight="1" x14ac:dyDescent="0.25">
      <c r="A156" s="141"/>
      <c r="D156" s="142"/>
      <c r="E156" s="142"/>
      <c r="F156" s="142"/>
      <c r="H156" s="142"/>
      <c r="I156" s="142"/>
      <c r="J156" s="142"/>
    </row>
    <row r="157" spans="1:10" ht="15.75" customHeight="1" x14ac:dyDescent="0.25">
      <c r="A157" s="141"/>
      <c r="D157" s="142"/>
      <c r="E157" s="142"/>
      <c r="F157" s="142"/>
      <c r="H157" s="142"/>
      <c r="I157" s="142"/>
      <c r="J157" s="142"/>
    </row>
    <row r="158" spans="1:10" ht="15.75" customHeight="1" x14ac:dyDescent="0.25">
      <c r="A158" s="141"/>
      <c r="D158" s="142"/>
      <c r="E158" s="142"/>
      <c r="F158" s="142"/>
      <c r="H158" s="142"/>
      <c r="I158" s="142"/>
      <c r="J158" s="142"/>
    </row>
    <row r="159" spans="1:10" ht="15.75" customHeight="1" x14ac:dyDescent="0.25">
      <c r="A159" s="141"/>
      <c r="D159" s="142"/>
      <c r="E159" s="142"/>
      <c r="F159" s="142"/>
      <c r="H159" s="142"/>
      <c r="I159" s="142"/>
      <c r="J159" s="142"/>
    </row>
    <row r="160" spans="1:10" ht="15.75" customHeight="1" x14ac:dyDescent="0.25">
      <c r="A160" s="141"/>
      <c r="D160" s="142"/>
      <c r="E160" s="142"/>
      <c r="F160" s="142"/>
      <c r="H160" s="142"/>
      <c r="I160" s="142"/>
      <c r="J160" s="142"/>
    </row>
    <row r="161" spans="1:10" ht="15.75" customHeight="1" x14ac:dyDescent="0.25">
      <c r="A161" s="141"/>
      <c r="D161" s="142"/>
      <c r="E161" s="142"/>
      <c r="F161" s="142"/>
      <c r="H161" s="142"/>
      <c r="I161" s="142"/>
      <c r="J161" s="142"/>
    </row>
    <row r="162" spans="1:10" ht="15.75" customHeight="1" x14ac:dyDescent="0.25">
      <c r="A162" s="141"/>
      <c r="D162" s="142"/>
      <c r="E162" s="142"/>
      <c r="F162" s="142"/>
      <c r="H162" s="142"/>
      <c r="I162" s="142"/>
      <c r="J162" s="142"/>
    </row>
    <row r="163" spans="1:10" ht="15.75" customHeight="1" x14ac:dyDescent="0.25">
      <c r="A163" s="141"/>
      <c r="D163" s="142"/>
      <c r="E163" s="142"/>
      <c r="F163" s="142"/>
      <c r="H163" s="142"/>
      <c r="I163" s="142"/>
      <c r="J163" s="142"/>
    </row>
    <row r="164" spans="1:10" ht="15.75" customHeight="1" x14ac:dyDescent="0.25">
      <c r="A164" s="141"/>
      <c r="D164" s="142"/>
      <c r="E164" s="142"/>
      <c r="F164" s="142"/>
      <c r="H164" s="142"/>
      <c r="I164" s="142"/>
      <c r="J164" s="142"/>
    </row>
    <row r="165" spans="1:10" ht="15.75" customHeight="1" x14ac:dyDescent="0.25">
      <c r="A165" s="141"/>
      <c r="D165" s="142"/>
      <c r="E165" s="142"/>
      <c r="F165" s="142"/>
      <c r="H165" s="142"/>
      <c r="I165" s="142"/>
      <c r="J165" s="142"/>
    </row>
    <row r="166" spans="1:10" ht="15.75" customHeight="1" x14ac:dyDescent="0.25">
      <c r="A166" s="141"/>
      <c r="D166" s="142"/>
      <c r="E166" s="142"/>
      <c r="F166" s="142"/>
      <c r="H166" s="142"/>
      <c r="I166" s="142"/>
      <c r="J166" s="142"/>
    </row>
    <row r="167" spans="1:10" ht="15.75" customHeight="1" x14ac:dyDescent="0.25">
      <c r="A167" s="141"/>
      <c r="D167" s="142"/>
      <c r="E167" s="142"/>
      <c r="F167" s="142"/>
      <c r="H167" s="142"/>
      <c r="I167" s="142"/>
      <c r="J167" s="142"/>
    </row>
    <row r="168" spans="1:10" ht="15.75" customHeight="1" x14ac:dyDescent="0.25">
      <c r="A168" s="141"/>
      <c r="D168" s="142"/>
      <c r="E168" s="142"/>
      <c r="F168" s="142"/>
      <c r="H168" s="142"/>
      <c r="I168" s="142"/>
      <c r="J168" s="142"/>
    </row>
    <row r="169" spans="1:10" ht="15.75" customHeight="1" x14ac:dyDescent="0.25">
      <c r="A169" s="141"/>
      <c r="D169" s="142"/>
      <c r="E169" s="142"/>
      <c r="F169" s="142"/>
      <c r="H169" s="142"/>
      <c r="I169" s="142"/>
      <c r="J169" s="142"/>
    </row>
    <row r="170" spans="1:10" ht="15.75" customHeight="1" x14ac:dyDescent="0.25">
      <c r="A170" s="141"/>
      <c r="D170" s="142"/>
      <c r="E170" s="142"/>
      <c r="F170" s="142"/>
      <c r="H170" s="142"/>
      <c r="I170" s="142"/>
      <c r="J170" s="142"/>
    </row>
    <row r="171" spans="1:10" ht="15.75" customHeight="1" x14ac:dyDescent="0.25">
      <c r="A171" s="141"/>
      <c r="D171" s="142"/>
      <c r="E171" s="142"/>
      <c r="F171" s="142"/>
      <c r="H171" s="142"/>
      <c r="I171" s="142"/>
      <c r="J171" s="142"/>
    </row>
    <row r="172" spans="1:10" ht="15.75" customHeight="1" x14ac:dyDescent="0.25">
      <c r="A172" s="141"/>
      <c r="D172" s="142"/>
      <c r="E172" s="142"/>
      <c r="F172" s="142"/>
      <c r="H172" s="142"/>
      <c r="I172" s="142"/>
      <c r="J172" s="142"/>
    </row>
    <row r="173" spans="1:10" ht="15.75" customHeight="1" x14ac:dyDescent="0.25">
      <c r="A173" s="141"/>
      <c r="D173" s="142"/>
      <c r="E173" s="142"/>
      <c r="F173" s="142"/>
      <c r="H173" s="142"/>
      <c r="I173" s="142"/>
      <c r="J173" s="142"/>
    </row>
    <row r="174" spans="1:10" ht="15.75" customHeight="1" x14ac:dyDescent="0.25">
      <c r="A174" s="141"/>
      <c r="D174" s="142"/>
      <c r="E174" s="142"/>
      <c r="F174" s="142"/>
      <c r="H174" s="142"/>
      <c r="I174" s="142"/>
      <c r="J174" s="142"/>
    </row>
    <row r="175" spans="1:10" ht="15.75" customHeight="1" x14ac:dyDescent="0.25">
      <c r="A175" s="141"/>
      <c r="D175" s="142"/>
      <c r="E175" s="142"/>
      <c r="F175" s="142"/>
      <c r="H175" s="142"/>
      <c r="I175" s="142"/>
      <c r="J175" s="142"/>
    </row>
    <row r="176" spans="1:10" ht="15.75" customHeight="1" x14ac:dyDescent="0.25">
      <c r="A176" s="141"/>
      <c r="D176" s="142"/>
      <c r="E176" s="142"/>
      <c r="F176" s="142"/>
      <c r="H176" s="142"/>
      <c r="I176" s="142"/>
      <c r="J176" s="142"/>
    </row>
    <row r="177" spans="1:10" ht="15.75" customHeight="1" x14ac:dyDescent="0.25">
      <c r="A177" s="141"/>
      <c r="D177" s="142"/>
      <c r="E177" s="142"/>
      <c r="F177" s="142"/>
      <c r="H177" s="142"/>
      <c r="I177" s="142"/>
      <c r="J177" s="142"/>
    </row>
    <row r="178" spans="1:10" ht="15.75" customHeight="1" x14ac:dyDescent="0.25">
      <c r="A178" s="141"/>
      <c r="D178" s="142"/>
      <c r="E178" s="142"/>
      <c r="F178" s="142"/>
      <c r="H178" s="142"/>
      <c r="I178" s="142"/>
      <c r="J178" s="142"/>
    </row>
    <row r="179" spans="1:10" ht="15.75" customHeight="1" x14ac:dyDescent="0.25">
      <c r="A179" s="141"/>
      <c r="D179" s="142"/>
      <c r="E179" s="142"/>
      <c r="F179" s="142"/>
      <c r="H179" s="142"/>
      <c r="I179" s="142"/>
      <c r="J179" s="142"/>
    </row>
    <row r="180" spans="1:10" ht="15.75" customHeight="1" x14ac:dyDescent="0.25">
      <c r="A180" s="141"/>
      <c r="D180" s="142"/>
      <c r="E180" s="142"/>
      <c r="F180" s="142"/>
      <c r="H180" s="142"/>
      <c r="I180" s="142"/>
      <c r="J180" s="142"/>
    </row>
    <row r="181" spans="1:10" ht="15.75" customHeight="1" x14ac:dyDescent="0.25">
      <c r="A181" s="141"/>
      <c r="D181" s="142"/>
      <c r="E181" s="142"/>
      <c r="F181" s="142"/>
      <c r="H181" s="142"/>
      <c r="I181" s="142"/>
      <c r="J181" s="142"/>
    </row>
    <row r="182" spans="1:10" ht="15.75" customHeight="1" x14ac:dyDescent="0.25">
      <c r="A182" s="141"/>
      <c r="D182" s="142"/>
      <c r="E182" s="142"/>
      <c r="F182" s="142"/>
      <c r="H182" s="142"/>
      <c r="I182" s="142"/>
      <c r="J182" s="142"/>
    </row>
    <row r="183" spans="1:10" ht="15.75" customHeight="1" x14ac:dyDescent="0.25">
      <c r="A183" s="141"/>
      <c r="D183" s="142"/>
      <c r="E183" s="142"/>
      <c r="F183" s="142"/>
      <c r="H183" s="142"/>
      <c r="I183" s="142"/>
      <c r="J183" s="142"/>
    </row>
    <row r="184" spans="1:10" ht="15.75" customHeight="1" x14ac:dyDescent="0.25">
      <c r="A184" s="141"/>
      <c r="D184" s="142"/>
      <c r="E184" s="142"/>
      <c r="F184" s="142"/>
      <c r="H184" s="142"/>
      <c r="I184" s="142"/>
      <c r="J184" s="142"/>
    </row>
    <row r="185" spans="1:10" ht="15.75" customHeight="1" x14ac:dyDescent="0.25">
      <c r="A185" s="141"/>
      <c r="D185" s="142"/>
      <c r="E185" s="142"/>
      <c r="F185" s="142"/>
      <c r="H185" s="142"/>
      <c r="I185" s="142"/>
      <c r="J185" s="142"/>
    </row>
    <row r="186" spans="1:10" ht="15.75" customHeight="1" x14ac:dyDescent="0.25">
      <c r="A186" s="141"/>
      <c r="D186" s="142"/>
      <c r="E186" s="142"/>
      <c r="F186" s="142"/>
      <c r="H186" s="142"/>
      <c r="I186" s="142"/>
      <c r="J186" s="142"/>
    </row>
    <row r="187" spans="1:10" ht="15.75" customHeight="1" x14ac:dyDescent="0.25">
      <c r="A187" s="141"/>
      <c r="D187" s="142"/>
      <c r="E187" s="142"/>
      <c r="F187" s="142"/>
      <c r="H187" s="142"/>
      <c r="I187" s="142"/>
      <c r="J187" s="142"/>
    </row>
    <row r="188" spans="1:10" ht="15.75" customHeight="1" x14ac:dyDescent="0.25">
      <c r="A188" s="141"/>
      <c r="D188" s="142"/>
      <c r="E188" s="142"/>
      <c r="F188" s="142"/>
      <c r="H188" s="142"/>
      <c r="I188" s="142"/>
      <c r="J188" s="142"/>
    </row>
    <row r="189" spans="1:10" ht="15.75" customHeight="1" x14ac:dyDescent="0.25">
      <c r="A189" s="141"/>
      <c r="D189" s="142"/>
      <c r="E189" s="142"/>
      <c r="F189" s="142"/>
      <c r="H189" s="142"/>
      <c r="I189" s="142"/>
      <c r="J189" s="142"/>
    </row>
    <row r="190" spans="1:10" ht="15.75" customHeight="1" x14ac:dyDescent="0.25">
      <c r="A190" s="141"/>
      <c r="D190" s="142"/>
      <c r="E190" s="142"/>
      <c r="F190" s="142"/>
      <c r="H190" s="142"/>
      <c r="I190" s="142"/>
      <c r="J190" s="142"/>
    </row>
    <row r="191" spans="1:10" ht="15.75" customHeight="1" x14ac:dyDescent="0.25">
      <c r="A191" s="141"/>
      <c r="D191" s="142"/>
      <c r="E191" s="142"/>
      <c r="F191" s="142"/>
      <c r="H191" s="142"/>
      <c r="I191" s="142"/>
      <c r="J191" s="142"/>
    </row>
    <row r="192" spans="1:10" ht="15.75" customHeight="1" x14ac:dyDescent="0.25">
      <c r="A192" s="141"/>
      <c r="D192" s="142"/>
      <c r="E192" s="142"/>
      <c r="F192" s="142"/>
      <c r="H192" s="142"/>
      <c r="I192" s="142"/>
      <c r="J192" s="142"/>
    </row>
    <row r="193" spans="1:10" ht="15.75" customHeight="1" x14ac:dyDescent="0.25">
      <c r="A193" s="141"/>
      <c r="D193" s="142"/>
      <c r="E193" s="142"/>
      <c r="F193" s="142"/>
      <c r="H193" s="142"/>
      <c r="I193" s="142"/>
      <c r="J193" s="142"/>
    </row>
    <row r="194" spans="1:10" ht="15.75" customHeight="1" x14ac:dyDescent="0.25">
      <c r="A194" s="141"/>
      <c r="D194" s="142"/>
      <c r="E194" s="142"/>
      <c r="F194" s="142"/>
      <c r="H194" s="142"/>
      <c r="I194" s="142"/>
      <c r="J194" s="142"/>
    </row>
    <row r="195" spans="1:10" ht="15.75" customHeight="1" x14ac:dyDescent="0.25">
      <c r="A195" s="141"/>
      <c r="D195" s="142"/>
      <c r="E195" s="142"/>
      <c r="F195" s="142"/>
      <c r="H195" s="142"/>
      <c r="I195" s="142"/>
      <c r="J195" s="142"/>
    </row>
    <row r="196" spans="1:10" ht="15.75" customHeight="1" x14ac:dyDescent="0.25">
      <c r="A196" s="141"/>
      <c r="D196" s="142"/>
      <c r="E196" s="142"/>
      <c r="F196" s="142"/>
      <c r="H196" s="142"/>
      <c r="I196" s="142"/>
      <c r="J196" s="142"/>
    </row>
    <row r="197" spans="1:10" ht="15.75" customHeight="1" x14ac:dyDescent="0.25">
      <c r="A197" s="141"/>
      <c r="D197" s="142"/>
      <c r="E197" s="142"/>
      <c r="F197" s="142"/>
      <c r="H197" s="142"/>
      <c r="I197" s="142"/>
      <c r="J197" s="142"/>
    </row>
    <row r="198" spans="1:10" ht="15.75" customHeight="1" x14ac:dyDescent="0.25">
      <c r="A198" s="141"/>
      <c r="D198" s="142"/>
      <c r="E198" s="142"/>
      <c r="F198" s="142"/>
      <c r="H198" s="142"/>
      <c r="I198" s="142"/>
      <c r="J198" s="142"/>
    </row>
    <row r="199" spans="1:10" ht="15.75" customHeight="1" x14ac:dyDescent="0.25">
      <c r="A199" s="141"/>
      <c r="D199" s="142"/>
      <c r="E199" s="142"/>
      <c r="F199" s="142"/>
      <c r="H199" s="142"/>
      <c r="I199" s="142"/>
      <c r="J199" s="142"/>
    </row>
    <row r="200" spans="1:10" ht="15.75" customHeight="1" x14ac:dyDescent="0.25">
      <c r="A200" s="141"/>
      <c r="D200" s="142"/>
      <c r="E200" s="142"/>
      <c r="F200" s="142"/>
      <c r="H200" s="142"/>
      <c r="I200" s="142"/>
      <c r="J200" s="142"/>
    </row>
    <row r="201" spans="1:10" ht="15.75" customHeight="1" x14ac:dyDescent="0.25">
      <c r="A201" s="141"/>
      <c r="D201" s="142"/>
      <c r="E201" s="142"/>
      <c r="F201" s="142"/>
      <c r="H201" s="142"/>
      <c r="I201" s="142"/>
      <c r="J201" s="142"/>
    </row>
    <row r="202" spans="1:10" ht="15.75" customHeight="1" x14ac:dyDescent="0.25">
      <c r="A202" s="141"/>
      <c r="D202" s="142"/>
      <c r="E202" s="142"/>
      <c r="F202" s="142"/>
      <c r="H202" s="142"/>
      <c r="I202" s="142"/>
      <c r="J202" s="142"/>
    </row>
    <row r="203" spans="1:10" ht="15.75" customHeight="1" x14ac:dyDescent="0.25">
      <c r="A203" s="141"/>
      <c r="D203" s="142"/>
      <c r="E203" s="142"/>
      <c r="F203" s="142"/>
      <c r="H203" s="142"/>
      <c r="I203" s="142"/>
      <c r="J203" s="142"/>
    </row>
    <row r="204" spans="1:10" ht="15.75" customHeight="1" x14ac:dyDescent="0.25">
      <c r="A204" s="141"/>
      <c r="D204" s="142"/>
      <c r="E204" s="142"/>
      <c r="F204" s="142"/>
      <c r="H204" s="142"/>
      <c r="I204" s="142"/>
      <c r="J204" s="142"/>
    </row>
    <row r="205" spans="1:10" ht="15.75" customHeight="1" x14ac:dyDescent="0.25">
      <c r="A205" s="141"/>
      <c r="D205" s="142"/>
      <c r="E205" s="142"/>
      <c r="F205" s="142"/>
      <c r="H205" s="142"/>
      <c r="I205" s="142"/>
      <c r="J205" s="142"/>
    </row>
    <row r="206" spans="1:10" ht="15.75" customHeight="1" x14ac:dyDescent="0.25">
      <c r="A206" s="141"/>
      <c r="D206" s="142"/>
      <c r="E206" s="142"/>
      <c r="F206" s="142"/>
      <c r="H206" s="142"/>
      <c r="I206" s="142"/>
      <c r="J206" s="142"/>
    </row>
    <row r="207" spans="1:10" ht="15.75" customHeight="1" x14ac:dyDescent="0.25">
      <c r="A207" s="141"/>
      <c r="D207" s="142"/>
      <c r="E207" s="142"/>
      <c r="F207" s="142"/>
      <c r="H207" s="142"/>
      <c r="I207" s="142"/>
      <c r="J207" s="142"/>
    </row>
    <row r="208" spans="1:10" ht="15.75" customHeight="1" x14ac:dyDescent="0.25">
      <c r="A208" s="141"/>
      <c r="D208" s="142"/>
      <c r="E208" s="142"/>
      <c r="F208" s="142"/>
      <c r="H208" s="142"/>
      <c r="I208" s="142"/>
      <c r="J208" s="142"/>
    </row>
    <row r="209" spans="1:10" ht="15.75" customHeight="1" x14ac:dyDescent="0.25">
      <c r="A209" s="141"/>
      <c r="D209" s="142"/>
      <c r="E209" s="142"/>
      <c r="F209" s="142"/>
      <c r="H209" s="142"/>
      <c r="I209" s="142"/>
      <c r="J209" s="142"/>
    </row>
    <row r="210" spans="1:10" ht="15.75" customHeight="1" x14ac:dyDescent="0.25">
      <c r="A210" s="141"/>
      <c r="D210" s="142"/>
      <c r="E210" s="142"/>
      <c r="F210" s="142"/>
      <c r="H210" s="142"/>
      <c r="I210" s="142"/>
      <c r="J210" s="142"/>
    </row>
    <row r="211" spans="1:10" ht="15.75" customHeight="1" x14ac:dyDescent="0.25">
      <c r="A211" s="141"/>
      <c r="D211" s="142"/>
      <c r="E211" s="142"/>
      <c r="F211" s="142"/>
      <c r="H211" s="142"/>
      <c r="I211" s="142"/>
      <c r="J211" s="142"/>
    </row>
    <row r="212" spans="1:10" ht="15.75" customHeight="1" x14ac:dyDescent="0.25">
      <c r="A212" s="141"/>
      <c r="D212" s="142"/>
      <c r="E212" s="142"/>
      <c r="F212" s="142"/>
      <c r="H212" s="142"/>
      <c r="I212" s="142"/>
      <c r="J212" s="142"/>
    </row>
    <row r="213" spans="1:10" ht="15.75" customHeight="1" x14ac:dyDescent="0.25">
      <c r="A213" s="141"/>
      <c r="D213" s="142"/>
      <c r="E213" s="142"/>
      <c r="F213" s="142"/>
      <c r="H213" s="142"/>
      <c r="I213" s="142"/>
      <c r="J213" s="142"/>
    </row>
    <row r="214" spans="1:10" ht="15.75" customHeight="1" x14ac:dyDescent="0.25">
      <c r="A214" s="141"/>
      <c r="D214" s="142"/>
      <c r="E214" s="142"/>
      <c r="F214" s="142"/>
      <c r="H214" s="142"/>
      <c r="I214" s="142"/>
      <c r="J214" s="142"/>
    </row>
    <row r="215" spans="1:10" ht="15.75" customHeight="1" x14ac:dyDescent="0.25">
      <c r="A215" s="141"/>
      <c r="D215" s="142"/>
      <c r="E215" s="142"/>
      <c r="F215" s="142"/>
      <c r="H215" s="142"/>
      <c r="I215" s="142"/>
      <c r="J215" s="142"/>
    </row>
    <row r="216" spans="1:10" ht="15.75" customHeight="1" x14ac:dyDescent="0.25">
      <c r="A216" s="141"/>
      <c r="D216" s="142"/>
      <c r="E216" s="142"/>
      <c r="F216" s="142"/>
      <c r="H216" s="142"/>
      <c r="I216" s="142"/>
      <c r="J216" s="142"/>
    </row>
    <row r="217" spans="1:10" ht="15.75" customHeight="1" x14ac:dyDescent="0.25">
      <c r="A217" s="141"/>
      <c r="D217" s="142"/>
      <c r="E217" s="142"/>
      <c r="F217" s="142"/>
      <c r="H217" s="142"/>
      <c r="I217" s="142"/>
      <c r="J217" s="142"/>
    </row>
    <row r="218" spans="1:10" ht="15.75" customHeight="1" x14ac:dyDescent="0.25">
      <c r="A218" s="141"/>
      <c r="D218" s="142"/>
      <c r="E218" s="142"/>
      <c r="F218" s="142"/>
      <c r="H218" s="142"/>
      <c r="I218" s="142"/>
      <c r="J218" s="142"/>
    </row>
    <row r="219" spans="1:10" ht="15.75" customHeight="1" x14ac:dyDescent="0.25">
      <c r="A219" s="141"/>
      <c r="D219" s="142"/>
      <c r="E219" s="142"/>
      <c r="F219" s="142"/>
      <c r="H219" s="142"/>
      <c r="I219" s="142"/>
      <c r="J219" s="142"/>
    </row>
    <row r="220" spans="1:10" ht="15.75" customHeight="1" x14ac:dyDescent="0.25">
      <c r="A220" s="141"/>
      <c r="D220" s="142"/>
      <c r="E220" s="142"/>
      <c r="F220" s="142"/>
      <c r="H220" s="142"/>
      <c r="I220" s="142"/>
      <c r="J220" s="142"/>
    </row>
    <row r="221" spans="1:10" ht="15.75" customHeight="1" x14ac:dyDescent="0.25">
      <c r="A221" s="141"/>
      <c r="D221" s="142"/>
      <c r="E221" s="142"/>
      <c r="F221" s="142"/>
      <c r="H221" s="142"/>
      <c r="I221" s="142"/>
      <c r="J221" s="142"/>
    </row>
    <row r="222" spans="1:10" ht="15.75" customHeight="1" x14ac:dyDescent="0.25">
      <c r="A222" s="141"/>
      <c r="D222" s="142"/>
      <c r="E222" s="142"/>
      <c r="F222" s="142"/>
      <c r="H222" s="142"/>
      <c r="I222" s="142"/>
      <c r="J222" s="142"/>
    </row>
    <row r="223" spans="1:10" ht="15.75" customHeight="1" x14ac:dyDescent="0.25">
      <c r="A223" s="141"/>
      <c r="D223" s="142"/>
      <c r="E223" s="142"/>
      <c r="F223" s="142"/>
      <c r="H223" s="142"/>
      <c r="I223" s="142"/>
      <c r="J223" s="142"/>
    </row>
    <row r="224" spans="1:10" ht="15.75" customHeight="1" x14ac:dyDescent="0.25">
      <c r="A224" s="141"/>
      <c r="D224" s="142"/>
      <c r="E224" s="142"/>
      <c r="F224" s="142"/>
      <c r="H224" s="142"/>
      <c r="I224" s="142"/>
      <c r="J224" s="142"/>
    </row>
    <row r="225" spans="1:10" ht="15.75" customHeight="1" x14ac:dyDescent="0.25">
      <c r="A225" s="141"/>
      <c r="D225" s="142"/>
      <c r="E225" s="142"/>
      <c r="F225" s="142"/>
      <c r="H225" s="142"/>
      <c r="I225" s="142"/>
      <c r="J225" s="142"/>
    </row>
    <row r="226" spans="1:10" ht="15.75" customHeight="1" x14ac:dyDescent="0.25">
      <c r="A226" s="141"/>
      <c r="D226" s="142"/>
      <c r="E226" s="142"/>
      <c r="F226" s="142"/>
      <c r="H226" s="142"/>
      <c r="I226" s="142"/>
      <c r="J226" s="142"/>
    </row>
    <row r="227" spans="1:10" ht="15.75" customHeight="1" x14ac:dyDescent="0.25">
      <c r="A227" s="141"/>
      <c r="D227" s="142"/>
      <c r="E227" s="142"/>
      <c r="F227" s="142"/>
      <c r="H227" s="142"/>
      <c r="I227" s="142"/>
      <c r="J227" s="142"/>
    </row>
    <row r="228" spans="1:10" ht="15.75" customHeight="1" x14ac:dyDescent="0.25">
      <c r="A228" s="141"/>
      <c r="D228" s="142"/>
      <c r="E228" s="142"/>
      <c r="F228" s="142"/>
      <c r="H228" s="142"/>
      <c r="I228" s="142"/>
      <c r="J228" s="142"/>
    </row>
    <row r="229" spans="1:10" ht="15.75" customHeight="1" x14ac:dyDescent="0.25">
      <c r="A229" s="141"/>
      <c r="D229" s="142"/>
      <c r="E229" s="142"/>
      <c r="F229" s="142"/>
      <c r="H229" s="142"/>
      <c r="I229" s="142"/>
      <c r="J229" s="142"/>
    </row>
    <row r="230" spans="1:10" ht="15.75" customHeight="1" x14ac:dyDescent="0.25">
      <c r="A230" s="141"/>
      <c r="D230" s="142"/>
      <c r="E230" s="142"/>
      <c r="F230" s="142"/>
      <c r="H230" s="142"/>
      <c r="I230" s="142"/>
      <c r="J230" s="142"/>
    </row>
    <row r="231" spans="1:10" ht="15.75" customHeight="1" x14ac:dyDescent="0.25">
      <c r="A231" s="141"/>
      <c r="D231" s="142"/>
      <c r="E231" s="142"/>
      <c r="F231" s="142"/>
      <c r="H231" s="142"/>
      <c r="I231" s="142"/>
      <c r="J231" s="142"/>
    </row>
    <row r="232" spans="1:10" ht="15.75" customHeight="1" x14ac:dyDescent="0.25">
      <c r="A232" s="141"/>
      <c r="D232" s="142"/>
      <c r="E232" s="142"/>
      <c r="F232" s="142"/>
      <c r="H232" s="142"/>
      <c r="I232" s="142"/>
      <c r="J232" s="142"/>
    </row>
    <row r="233" spans="1:10" ht="15.75" customHeight="1" x14ac:dyDescent="0.25">
      <c r="A233" s="141"/>
      <c r="D233" s="142"/>
      <c r="E233" s="142"/>
      <c r="F233" s="142"/>
      <c r="H233" s="142"/>
      <c r="I233" s="142"/>
      <c r="J233" s="142"/>
    </row>
    <row r="234" spans="1:10" ht="15.75" customHeight="1" x14ac:dyDescent="0.25">
      <c r="A234" s="141"/>
      <c r="D234" s="142"/>
      <c r="E234" s="142"/>
      <c r="F234" s="142"/>
      <c r="H234" s="142"/>
      <c r="I234" s="142"/>
      <c r="J234" s="142"/>
    </row>
    <row r="235" spans="1:10" ht="15.75" customHeight="1" x14ac:dyDescent="0.25">
      <c r="A235" s="141"/>
      <c r="D235" s="142"/>
      <c r="E235" s="142"/>
      <c r="F235" s="142"/>
      <c r="H235" s="142"/>
      <c r="I235" s="142"/>
      <c r="J235" s="142"/>
    </row>
    <row r="236" spans="1:10" ht="15.75" customHeight="1" x14ac:dyDescent="0.25">
      <c r="A236" s="141"/>
      <c r="D236" s="142"/>
      <c r="E236" s="142"/>
      <c r="F236" s="142"/>
      <c r="H236" s="142"/>
      <c r="I236" s="142"/>
      <c r="J236" s="142"/>
    </row>
    <row r="237" spans="1:10" ht="15.75" customHeight="1" x14ac:dyDescent="0.25">
      <c r="A237" s="141"/>
      <c r="D237" s="142"/>
      <c r="E237" s="142"/>
      <c r="F237" s="142"/>
      <c r="H237" s="142"/>
      <c r="I237" s="142"/>
      <c r="J237" s="142"/>
    </row>
    <row r="238" spans="1:10" ht="15.75" customHeight="1" x14ac:dyDescent="0.25">
      <c r="A238" s="141"/>
      <c r="D238" s="142"/>
      <c r="E238" s="142"/>
      <c r="F238" s="142"/>
      <c r="H238" s="142"/>
      <c r="I238" s="142"/>
      <c r="J238" s="142"/>
    </row>
    <row r="239" spans="1:10" ht="15.75" customHeight="1" x14ac:dyDescent="0.25">
      <c r="A239" s="141"/>
      <c r="D239" s="142"/>
      <c r="E239" s="142"/>
      <c r="F239" s="142"/>
      <c r="H239" s="142"/>
      <c r="I239" s="142"/>
      <c r="J239" s="142"/>
    </row>
    <row r="240" spans="1:10" ht="15.75" customHeight="1" x14ac:dyDescent="0.25">
      <c r="A240" s="141"/>
      <c r="D240" s="142"/>
      <c r="E240" s="142"/>
      <c r="F240" s="142"/>
      <c r="H240" s="142"/>
      <c r="I240" s="142"/>
      <c r="J240" s="142"/>
    </row>
    <row r="241" spans="1:10" ht="15.75" customHeight="1" x14ac:dyDescent="0.25">
      <c r="A241" s="141"/>
      <c r="D241" s="142"/>
      <c r="E241" s="142"/>
      <c r="F241" s="142"/>
      <c r="H241" s="142"/>
      <c r="I241" s="142"/>
      <c r="J241" s="142"/>
    </row>
    <row r="242" spans="1:10" ht="15.75" customHeight="1" x14ac:dyDescent="0.25">
      <c r="A242" s="141"/>
      <c r="D242" s="142"/>
      <c r="E242" s="142"/>
      <c r="F242" s="142"/>
      <c r="H242" s="142"/>
      <c r="I242" s="142"/>
      <c r="J242" s="142"/>
    </row>
    <row r="243" spans="1:10" ht="15.75" customHeight="1" x14ac:dyDescent="0.25">
      <c r="A243" s="141"/>
      <c r="D243" s="142"/>
      <c r="E243" s="142"/>
      <c r="F243" s="142"/>
      <c r="H243" s="142"/>
      <c r="I243" s="142"/>
      <c r="J243" s="142"/>
    </row>
    <row r="244" spans="1:10" ht="15.75" customHeight="1" x14ac:dyDescent="0.25">
      <c r="A244" s="141"/>
      <c r="D244" s="142"/>
      <c r="E244" s="142"/>
      <c r="F244" s="142"/>
      <c r="H244" s="142"/>
      <c r="I244" s="142"/>
      <c r="J244" s="142"/>
    </row>
    <row r="245" spans="1:10" ht="15.75" customHeight="1" x14ac:dyDescent="0.25">
      <c r="A245" s="141"/>
      <c r="D245" s="142"/>
      <c r="E245" s="142"/>
      <c r="F245" s="142"/>
      <c r="H245" s="142"/>
      <c r="I245" s="142"/>
      <c r="J245" s="142"/>
    </row>
    <row r="246" spans="1:10" ht="15.75" customHeight="1" x14ac:dyDescent="0.25">
      <c r="A246" s="141"/>
      <c r="D246" s="142"/>
      <c r="E246" s="142"/>
      <c r="F246" s="142"/>
      <c r="H246" s="142"/>
      <c r="I246" s="142"/>
      <c r="J246" s="142"/>
    </row>
    <row r="247" spans="1:10" ht="15.75" customHeight="1" x14ac:dyDescent="0.25">
      <c r="A247" s="141"/>
      <c r="D247" s="142"/>
      <c r="E247" s="142"/>
      <c r="F247" s="142"/>
      <c r="H247" s="142"/>
      <c r="I247" s="142"/>
      <c r="J247" s="142"/>
    </row>
    <row r="248" spans="1:10" ht="15.75" customHeight="1" x14ac:dyDescent="0.25">
      <c r="A248" s="141"/>
      <c r="D248" s="142"/>
      <c r="E248" s="142"/>
      <c r="F248" s="142"/>
      <c r="H248" s="142"/>
      <c r="I248" s="142"/>
      <c r="J248" s="142"/>
    </row>
    <row r="249" spans="1:10" ht="15.75" customHeight="1" x14ac:dyDescent="0.25">
      <c r="A249" s="141"/>
      <c r="D249" s="142"/>
      <c r="E249" s="142"/>
      <c r="F249" s="142"/>
      <c r="H249" s="142"/>
      <c r="I249" s="142"/>
      <c r="J249" s="142"/>
    </row>
    <row r="250" spans="1:10" ht="15.75" customHeight="1" x14ac:dyDescent="0.25">
      <c r="A250" s="141"/>
      <c r="D250" s="142"/>
      <c r="E250" s="142"/>
      <c r="F250" s="142"/>
      <c r="H250" s="142"/>
      <c r="I250" s="142"/>
      <c r="J250" s="142"/>
    </row>
    <row r="251" spans="1:10" ht="15.75" customHeight="1" x14ac:dyDescent="0.25">
      <c r="A251" s="141"/>
      <c r="D251" s="142"/>
      <c r="E251" s="142"/>
      <c r="F251" s="142"/>
      <c r="H251" s="142"/>
      <c r="I251" s="142"/>
      <c r="J251" s="142"/>
    </row>
    <row r="252" spans="1:10" ht="15.75" customHeight="1" x14ac:dyDescent="0.25">
      <c r="A252" s="141"/>
      <c r="D252" s="142"/>
      <c r="E252" s="142"/>
      <c r="F252" s="142"/>
      <c r="H252" s="142"/>
      <c r="I252" s="142"/>
      <c r="J252" s="142"/>
    </row>
    <row r="253" spans="1:10" ht="15.75" customHeight="1" x14ac:dyDescent="0.25">
      <c r="A253" s="141"/>
      <c r="D253" s="142"/>
      <c r="E253" s="142"/>
      <c r="F253" s="142"/>
      <c r="H253" s="142"/>
      <c r="I253" s="142"/>
      <c r="J253" s="142"/>
    </row>
    <row r="254" spans="1:10" ht="15.75" customHeight="1" x14ac:dyDescent="0.25">
      <c r="A254" s="141"/>
      <c r="D254" s="142"/>
      <c r="E254" s="142"/>
      <c r="F254" s="142"/>
      <c r="H254" s="142"/>
      <c r="I254" s="142"/>
      <c r="J254" s="142"/>
    </row>
    <row r="255" spans="1:10" ht="15.75" customHeight="1" x14ac:dyDescent="0.25">
      <c r="A255" s="141"/>
      <c r="D255" s="142"/>
      <c r="E255" s="142"/>
      <c r="F255" s="142"/>
      <c r="H255" s="142"/>
      <c r="I255" s="142"/>
      <c r="J255" s="142"/>
    </row>
    <row r="256" spans="1:10" ht="15.75" customHeight="1" x14ac:dyDescent="0.25">
      <c r="A256" s="141"/>
      <c r="D256" s="142"/>
      <c r="E256" s="142"/>
      <c r="F256" s="142"/>
      <c r="H256" s="142"/>
      <c r="I256" s="142"/>
      <c r="J256" s="142"/>
    </row>
    <row r="257" spans="1:10" ht="15.75" customHeight="1" x14ac:dyDescent="0.25">
      <c r="A257" s="141"/>
      <c r="D257" s="142"/>
      <c r="E257" s="142"/>
      <c r="F257" s="142"/>
      <c r="H257" s="142"/>
      <c r="I257" s="142"/>
      <c r="J257" s="142"/>
    </row>
    <row r="258" spans="1:10" ht="15.75" customHeight="1" x14ac:dyDescent="0.25">
      <c r="A258" s="141"/>
      <c r="D258" s="142"/>
      <c r="E258" s="142"/>
      <c r="F258" s="142"/>
      <c r="H258" s="142"/>
      <c r="I258" s="142"/>
      <c r="J258" s="142"/>
    </row>
    <row r="259" spans="1:10" ht="15.75" customHeight="1" x14ac:dyDescent="0.25">
      <c r="A259" s="141"/>
      <c r="D259" s="142"/>
      <c r="E259" s="142"/>
      <c r="F259" s="142"/>
      <c r="H259" s="142"/>
      <c r="I259" s="142"/>
      <c r="J259" s="142"/>
    </row>
    <row r="260" spans="1:10" ht="15.75" customHeight="1" x14ac:dyDescent="0.25">
      <c r="A260" s="141"/>
      <c r="D260" s="142"/>
      <c r="E260" s="142"/>
      <c r="F260" s="142"/>
      <c r="H260" s="142"/>
      <c r="I260" s="142"/>
      <c r="J260" s="142"/>
    </row>
    <row r="261" spans="1:10" ht="15.75" customHeight="1" x14ac:dyDescent="0.25"/>
    <row r="262" spans="1:10" ht="15.75" customHeight="1" x14ac:dyDescent="0.25"/>
    <row r="263" spans="1:10" ht="15.75" customHeight="1" x14ac:dyDescent="0.25"/>
    <row r="264" spans="1:10" ht="15.75" customHeight="1" x14ac:dyDescent="0.25"/>
    <row r="265" spans="1:10" ht="15.75" customHeight="1" x14ac:dyDescent="0.25"/>
    <row r="266" spans="1:10" ht="15.75" customHeight="1" x14ac:dyDescent="0.25"/>
    <row r="267" spans="1:10" ht="15.75" customHeight="1" x14ac:dyDescent="0.25"/>
    <row r="268" spans="1:10" ht="15.75" customHeight="1" x14ac:dyDescent="0.25"/>
    <row r="269" spans="1:10" ht="15.75" customHeight="1" x14ac:dyDescent="0.25"/>
    <row r="270" spans="1:10" ht="15.75" customHeight="1" x14ac:dyDescent="0.25"/>
    <row r="271" spans="1:10" ht="15.75" customHeight="1" x14ac:dyDescent="0.25"/>
    <row r="272" spans="1:1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70">
    <mergeCell ref="A4:A6"/>
    <mergeCell ref="B4:B6"/>
    <mergeCell ref="A1:A3"/>
    <mergeCell ref="B1:B3"/>
    <mergeCell ref="C1:F1"/>
    <mergeCell ref="G1:J1"/>
    <mergeCell ref="C2:C3"/>
    <mergeCell ref="D2:F2"/>
    <mergeCell ref="G2:G3"/>
    <mergeCell ref="H2:J2"/>
    <mergeCell ref="A13:A15"/>
    <mergeCell ref="B13:B15"/>
    <mergeCell ref="A16:A18"/>
    <mergeCell ref="B16:B18"/>
    <mergeCell ref="A7:A9"/>
    <mergeCell ref="B7:B9"/>
    <mergeCell ref="A10:A12"/>
    <mergeCell ref="B10:B12"/>
    <mergeCell ref="A25:A27"/>
    <mergeCell ref="B25:B27"/>
    <mergeCell ref="A28:A30"/>
    <mergeCell ref="B28:B30"/>
    <mergeCell ref="A19:A21"/>
    <mergeCell ref="B19:B21"/>
    <mergeCell ref="A22:A24"/>
    <mergeCell ref="B22:B24"/>
    <mergeCell ref="A37:A39"/>
    <mergeCell ref="B37:B39"/>
    <mergeCell ref="A40:A42"/>
    <mergeCell ref="B40:B42"/>
    <mergeCell ref="A31:A33"/>
    <mergeCell ref="B31:B33"/>
    <mergeCell ref="A34:A36"/>
    <mergeCell ref="B34:B36"/>
    <mergeCell ref="A46:A48"/>
    <mergeCell ref="B46:B48"/>
    <mergeCell ref="A49:A51"/>
    <mergeCell ref="B49:B51"/>
    <mergeCell ref="A43:A45"/>
    <mergeCell ref="B43:B45"/>
    <mergeCell ref="A58:A60"/>
    <mergeCell ref="B58:B60"/>
    <mergeCell ref="A61:A63"/>
    <mergeCell ref="B61:B63"/>
    <mergeCell ref="A52:A54"/>
    <mergeCell ref="B52:B54"/>
    <mergeCell ref="A55:A57"/>
    <mergeCell ref="B55:B57"/>
    <mergeCell ref="A70:A72"/>
    <mergeCell ref="B70:B72"/>
    <mergeCell ref="A73:A75"/>
    <mergeCell ref="B73:B75"/>
    <mergeCell ref="A64:A66"/>
    <mergeCell ref="B64:B66"/>
    <mergeCell ref="A67:A69"/>
    <mergeCell ref="B67:B69"/>
    <mergeCell ref="A82:A84"/>
    <mergeCell ref="B82:B84"/>
    <mergeCell ref="A85:A87"/>
    <mergeCell ref="B85:B87"/>
    <mergeCell ref="A76:A78"/>
    <mergeCell ref="B76:B78"/>
    <mergeCell ref="A79:A81"/>
    <mergeCell ref="B79:B81"/>
    <mergeCell ref="A91:A93"/>
    <mergeCell ref="B91:B93"/>
    <mergeCell ref="A94:A96"/>
    <mergeCell ref="B94:B96"/>
    <mergeCell ref="A88:A90"/>
    <mergeCell ref="B88:B90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4250-3ADA-4413-82D9-068764C8B51F}">
  <dimension ref="A1:R932"/>
  <sheetViews>
    <sheetView workbookViewId="0">
      <pane xSplit="2" ySplit="3" topLeftCell="C9" activePane="bottomRight" state="frozen"/>
      <selection pane="topRight" activeCell="C1" sqref="C1"/>
      <selection pane="bottomLeft" activeCell="A4" sqref="A4"/>
      <selection pane="bottomRight" activeCell="J5" sqref="J4:J5"/>
    </sheetView>
  </sheetViews>
  <sheetFormatPr defaultColWidth="14.42578125" defaultRowHeight="15" customHeight="1" x14ac:dyDescent="0.25"/>
  <cols>
    <col min="1" max="1" width="6.28515625" customWidth="1"/>
    <col min="2" max="2" width="14" customWidth="1"/>
    <col min="4" max="4" width="11.5703125" customWidth="1"/>
    <col min="5" max="5" width="7.5703125" customWidth="1"/>
    <col min="6" max="6" width="7.42578125" customWidth="1"/>
    <col min="7" max="7" width="5.5703125" customWidth="1"/>
    <col min="8" max="8" width="11.5703125" customWidth="1"/>
    <col min="9" max="9" width="7.5703125" customWidth="1"/>
    <col min="10" max="10" width="7.42578125" customWidth="1"/>
    <col min="11" max="11" width="5.5703125" customWidth="1"/>
  </cols>
  <sheetData>
    <row r="1" spans="1:18" ht="24" customHeight="1" thickBot="1" x14ac:dyDescent="0.3">
      <c r="A1" s="220" t="s">
        <v>0</v>
      </c>
      <c r="B1" s="193" t="s">
        <v>1</v>
      </c>
      <c r="C1" s="194" t="s">
        <v>2</v>
      </c>
      <c r="D1" s="222" t="s">
        <v>3</v>
      </c>
      <c r="E1" s="196"/>
      <c r="F1" s="196"/>
      <c r="G1" s="196"/>
      <c r="H1" s="223" t="s">
        <v>4</v>
      </c>
      <c r="I1" s="174"/>
      <c r="J1" s="174"/>
      <c r="K1" s="174"/>
      <c r="L1" s="142"/>
      <c r="M1" s="142"/>
      <c r="N1" s="142"/>
      <c r="O1" s="142"/>
      <c r="P1" s="142"/>
      <c r="Q1" s="142"/>
      <c r="R1" s="142"/>
    </row>
    <row r="2" spans="1:18" ht="11.25" customHeight="1" x14ac:dyDescent="0.25">
      <c r="A2" s="216"/>
      <c r="B2" s="171"/>
      <c r="C2" s="174"/>
      <c r="D2" s="224"/>
      <c r="E2" s="225" t="s">
        <v>74</v>
      </c>
      <c r="F2" s="201"/>
      <c r="G2" s="201"/>
      <c r="H2" s="226"/>
      <c r="I2" s="227" t="s">
        <v>74</v>
      </c>
      <c r="J2" s="201"/>
      <c r="K2" s="201"/>
      <c r="L2" s="142"/>
      <c r="M2" s="142"/>
      <c r="N2" s="142"/>
      <c r="O2" s="142"/>
      <c r="P2" s="142"/>
      <c r="Q2" s="142"/>
      <c r="R2" s="142"/>
    </row>
    <row r="3" spans="1:18" ht="23.25" thickBot="1" x14ac:dyDescent="0.3">
      <c r="A3" s="221"/>
      <c r="B3" s="179"/>
      <c r="C3" s="181"/>
      <c r="D3" s="199"/>
      <c r="E3" s="161" t="s">
        <v>6</v>
      </c>
      <c r="F3" s="162" t="s">
        <v>7</v>
      </c>
      <c r="G3" s="162" t="s">
        <v>8</v>
      </c>
      <c r="H3" s="181"/>
      <c r="I3" s="163" t="s">
        <v>6</v>
      </c>
      <c r="J3" s="164" t="s">
        <v>7</v>
      </c>
      <c r="K3" s="164" t="s">
        <v>8</v>
      </c>
      <c r="L3" s="142"/>
      <c r="M3" s="142"/>
      <c r="N3" s="142"/>
      <c r="O3" s="142"/>
      <c r="P3" s="142"/>
      <c r="Q3" s="142"/>
      <c r="R3" s="142"/>
    </row>
    <row r="4" spans="1:18" ht="24.75" customHeight="1" x14ac:dyDescent="0.25">
      <c r="A4" s="214">
        <v>2</v>
      </c>
      <c r="B4" s="192" t="s">
        <v>12</v>
      </c>
      <c r="C4" s="177" t="s">
        <v>13</v>
      </c>
      <c r="D4" s="17" t="s">
        <v>9</v>
      </c>
      <c r="E4" s="18">
        <v>35</v>
      </c>
      <c r="F4" s="19">
        <v>68</v>
      </c>
      <c r="G4" s="19">
        <f t="shared" ref="G4:G6" si="0">($F$4-E4)*100/$F$4</f>
        <v>48.529411764705884</v>
      </c>
      <c r="H4" s="137" t="s">
        <v>9</v>
      </c>
      <c r="I4" s="18">
        <v>6.96</v>
      </c>
      <c r="J4" s="19">
        <v>7.7</v>
      </c>
      <c r="K4" s="22">
        <f t="shared" ref="K4:K6" si="1">($J$4-I4)*100/$J$4</f>
        <v>9.610389610389614</v>
      </c>
      <c r="L4" s="142"/>
      <c r="M4" s="142"/>
      <c r="N4" s="142"/>
      <c r="O4" s="142"/>
      <c r="P4" s="142"/>
      <c r="Q4" s="142"/>
      <c r="R4" s="142"/>
    </row>
    <row r="5" spans="1:18" ht="24.75" customHeight="1" x14ac:dyDescent="0.25">
      <c r="A5" s="212"/>
      <c r="B5" s="171"/>
      <c r="C5" s="174"/>
      <c r="D5" s="23" t="s">
        <v>10</v>
      </c>
      <c r="E5" s="24">
        <v>15</v>
      </c>
      <c r="F5" s="25"/>
      <c r="G5" s="25">
        <f t="shared" si="0"/>
        <v>77.941176470588232</v>
      </c>
      <c r="H5" s="138" t="s">
        <v>10</v>
      </c>
      <c r="I5" s="24">
        <v>6.34</v>
      </c>
      <c r="J5" s="25"/>
      <c r="K5" s="28">
        <f t="shared" si="1"/>
        <v>17.662337662337666</v>
      </c>
      <c r="L5" s="142"/>
      <c r="M5" s="142"/>
      <c r="N5" s="142"/>
      <c r="O5" s="142"/>
      <c r="P5" s="142"/>
      <c r="Q5" s="142"/>
      <c r="R5" s="142"/>
    </row>
    <row r="6" spans="1:18" ht="24.75" customHeight="1" thickBot="1" x14ac:dyDescent="0.3">
      <c r="A6" s="213"/>
      <c r="B6" s="172"/>
      <c r="C6" s="175"/>
      <c r="D6" s="29" t="s">
        <v>11</v>
      </c>
      <c r="E6" s="30">
        <v>31</v>
      </c>
      <c r="F6" s="31"/>
      <c r="G6" s="31">
        <f t="shared" si="0"/>
        <v>54.411764705882355</v>
      </c>
      <c r="H6" s="139" t="s">
        <v>11</v>
      </c>
      <c r="I6" s="30">
        <v>7.67</v>
      </c>
      <c r="J6" s="31"/>
      <c r="K6" s="34">
        <f t="shared" si="1"/>
        <v>0.38961038961039285</v>
      </c>
      <c r="L6" s="142"/>
      <c r="M6" s="142"/>
      <c r="N6" s="142"/>
      <c r="O6" s="142"/>
      <c r="P6" s="142"/>
      <c r="Q6" s="142"/>
      <c r="R6" s="142"/>
    </row>
    <row r="7" spans="1:18" ht="24.75" customHeight="1" x14ac:dyDescent="0.25">
      <c r="A7" s="219">
        <v>4</v>
      </c>
      <c r="B7" s="190" t="s">
        <v>14</v>
      </c>
      <c r="C7" s="189" t="s">
        <v>15</v>
      </c>
      <c r="D7" s="35" t="s">
        <v>9</v>
      </c>
      <c r="E7" s="40">
        <v>14</v>
      </c>
      <c r="F7" s="37">
        <v>46</v>
      </c>
      <c r="G7" s="41">
        <f t="shared" ref="G7:G9" si="2">($F$7-E7)*100/$F$7</f>
        <v>69.565217391304344</v>
      </c>
      <c r="H7" s="149" t="s">
        <v>9</v>
      </c>
      <c r="I7" s="40">
        <v>7.69</v>
      </c>
      <c r="J7" s="37">
        <v>6.6</v>
      </c>
      <c r="K7" s="41">
        <f t="shared" ref="K7:K9" si="3">($J$7-I7)*100/$J$7</f>
        <v>-16.515151515151526</v>
      </c>
      <c r="L7" s="142"/>
      <c r="M7" s="142"/>
      <c r="N7" s="142"/>
      <c r="O7" s="142"/>
      <c r="P7" s="142"/>
      <c r="Q7" s="142"/>
      <c r="R7" s="142"/>
    </row>
    <row r="8" spans="1:18" ht="24.75" customHeight="1" x14ac:dyDescent="0.25">
      <c r="A8" s="212"/>
      <c r="B8" s="171"/>
      <c r="C8" s="174"/>
      <c r="D8" s="42" t="s">
        <v>10</v>
      </c>
      <c r="E8" s="43">
        <v>14</v>
      </c>
      <c r="F8" s="44"/>
      <c r="G8" s="47">
        <f t="shared" si="2"/>
        <v>69.565217391304344</v>
      </c>
      <c r="H8" s="150" t="s">
        <v>10</v>
      </c>
      <c r="I8" s="43">
        <v>7.61</v>
      </c>
      <c r="J8" s="44"/>
      <c r="K8" s="47">
        <f t="shared" si="3"/>
        <v>-15.303030303030315</v>
      </c>
      <c r="L8" s="142"/>
      <c r="M8" s="142"/>
      <c r="N8" s="142"/>
      <c r="O8" s="142"/>
      <c r="P8" s="142"/>
      <c r="Q8" s="142"/>
      <c r="R8" s="142"/>
    </row>
    <row r="9" spans="1:18" ht="24.75" customHeight="1" thickBot="1" x14ac:dyDescent="0.3">
      <c r="A9" s="213"/>
      <c r="B9" s="172"/>
      <c r="C9" s="175"/>
      <c r="D9" s="48" t="s">
        <v>11</v>
      </c>
      <c r="E9" s="49">
        <v>22</v>
      </c>
      <c r="F9" s="51"/>
      <c r="G9" s="54">
        <f t="shared" si="2"/>
        <v>52.173913043478258</v>
      </c>
      <c r="H9" s="151" t="s">
        <v>11</v>
      </c>
      <c r="I9" s="49">
        <v>7.65</v>
      </c>
      <c r="J9" s="51"/>
      <c r="K9" s="54">
        <f t="shared" si="3"/>
        <v>-15.909090909090921</v>
      </c>
      <c r="L9" s="142"/>
      <c r="M9" s="142"/>
      <c r="N9" s="142"/>
      <c r="O9" s="142"/>
      <c r="P9" s="142"/>
      <c r="Q9" s="142"/>
      <c r="R9" s="142"/>
    </row>
    <row r="10" spans="1:18" ht="24.75" customHeight="1" x14ac:dyDescent="0.25">
      <c r="A10" s="217">
        <v>5</v>
      </c>
      <c r="B10" s="186" t="s">
        <v>16</v>
      </c>
      <c r="C10" s="173" t="s">
        <v>17</v>
      </c>
      <c r="D10" s="55" t="s">
        <v>9</v>
      </c>
      <c r="E10" s="56">
        <v>37</v>
      </c>
      <c r="F10" s="57">
        <v>54</v>
      </c>
      <c r="G10" s="57">
        <f t="shared" ref="G10:G12" si="4">($F$10-E10)*100/$F$10</f>
        <v>31.481481481481481</v>
      </c>
      <c r="H10" s="152" t="s">
        <v>9</v>
      </c>
      <c r="I10" s="56">
        <v>7.23</v>
      </c>
      <c r="J10" s="57">
        <v>7.43</v>
      </c>
      <c r="K10" s="60">
        <f t="shared" ref="K10:K12" si="5">($J$10-I10)*100/$J$10</f>
        <v>2.6917900403768411</v>
      </c>
      <c r="L10" s="142"/>
      <c r="M10" s="142"/>
      <c r="N10" s="142"/>
      <c r="O10" s="142"/>
      <c r="P10" s="142"/>
      <c r="Q10" s="142"/>
      <c r="R10" s="142"/>
    </row>
    <row r="11" spans="1:18" ht="24.75" customHeight="1" x14ac:dyDescent="0.25">
      <c r="A11" s="212"/>
      <c r="B11" s="171"/>
      <c r="C11" s="174"/>
      <c r="D11" s="5" t="s">
        <v>10</v>
      </c>
      <c r="E11" s="6">
        <v>28</v>
      </c>
      <c r="F11" s="7"/>
      <c r="G11" s="7">
        <f t="shared" si="4"/>
        <v>48.148148148148145</v>
      </c>
      <c r="H11" s="148" t="s">
        <v>10</v>
      </c>
      <c r="I11" s="6">
        <v>7.31</v>
      </c>
      <c r="J11" s="7"/>
      <c r="K11" s="10">
        <f t="shared" si="5"/>
        <v>1.6150740242261119</v>
      </c>
      <c r="L11" s="142"/>
      <c r="M11" s="142"/>
      <c r="N11" s="142"/>
      <c r="O11" s="142"/>
      <c r="P11" s="142"/>
      <c r="Q11" s="142"/>
      <c r="R11" s="142"/>
    </row>
    <row r="12" spans="1:18" ht="24.75" customHeight="1" thickBot="1" x14ac:dyDescent="0.3">
      <c r="A12" s="213"/>
      <c r="B12" s="172"/>
      <c r="C12" s="175"/>
      <c r="D12" s="11" t="s">
        <v>11</v>
      </c>
      <c r="E12" s="62">
        <v>37</v>
      </c>
      <c r="F12" s="63"/>
      <c r="G12" s="63">
        <f t="shared" si="4"/>
        <v>31.481481481481481</v>
      </c>
      <c r="H12" s="153" t="s">
        <v>11</v>
      </c>
      <c r="I12" s="62">
        <v>7.33</v>
      </c>
      <c r="J12" s="63"/>
      <c r="K12" s="66">
        <f t="shared" si="5"/>
        <v>1.3458950201884206</v>
      </c>
      <c r="L12" s="142"/>
      <c r="M12" s="142"/>
      <c r="N12" s="142"/>
      <c r="O12" s="142"/>
      <c r="P12" s="142"/>
      <c r="Q12" s="142"/>
      <c r="R12" s="142"/>
    </row>
    <row r="13" spans="1:18" ht="24.75" customHeight="1" x14ac:dyDescent="0.25">
      <c r="A13" s="215">
        <v>6</v>
      </c>
      <c r="B13" s="191" t="s">
        <v>18</v>
      </c>
      <c r="C13" s="180" t="s">
        <v>75</v>
      </c>
      <c r="D13" s="17" t="s">
        <v>9</v>
      </c>
      <c r="E13" s="18">
        <v>26</v>
      </c>
      <c r="F13" s="69">
        <v>64</v>
      </c>
      <c r="G13" s="69">
        <f t="shared" ref="G13:G15" si="6">($F$13-E13)*100/$F$13</f>
        <v>59.375</v>
      </c>
      <c r="H13" s="154" t="s">
        <v>9</v>
      </c>
      <c r="I13" s="18">
        <v>7.73</v>
      </c>
      <c r="J13" s="19">
        <v>7.23</v>
      </c>
      <c r="K13" s="72">
        <f t="shared" ref="K13:K15" si="7">($J$13-I13)*100/$J$13</f>
        <v>-6.9156293222683258</v>
      </c>
      <c r="L13" s="142"/>
      <c r="M13" s="142"/>
      <c r="N13" s="142"/>
      <c r="O13" s="142"/>
      <c r="P13" s="142"/>
      <c r="Q13" s="142"/>
      <c r="R13" s="142"/>
    </row>
    <row r="14" spans="1:18" ht="24.75" customHeight="1" x14ac:dyDescent="0.25">
      <c r="A14" s="216"/>
      <c r="B14" s="171"/>
      <c r="C14" s="174"/>
      <c r="D14" s="23" t="s">
        <v>10</v>
      </c>
      <c r="E14" s="24">
        <v>26</v>
      </c>
      <c r="F14" s="25"/>
      <c r="G14" s="25">
        <f t="shared" si="6"/>
        <v>59.375</v>
      </c>
      <c r="H14" s="138" t="s">
        <v>10</v>
      </c>
      <c r="I14" s="24">
        <v>6.48</v>
      </c>
      <c r="J14" s="25"/>
      <c r="K14" s="28">
        <f t="shared" si="7"/>
        <v>10.373443983402488</v>
      </c>
      <c r="L14" s="142"/>
      <c r="M14" s="142"/>
      <c r="N14" s="142"/>
      <c r="O14" s="142"/>
      <c r="P14" s="142"/>
      <c r="Q14" s="142"/>
      <c r="R14" s="142"/>
    </row>
    <row r="15" spans="1:18" ht="24.75" customHeight="1" thickBot="1" x14ac:dyDescent="0.3">
      <c r="A15" s="216"/>
      <c r="B15" s="179"/>
      <c r="C15" s="181"/>
      <c r="D15" s="29" t="s">
        <v>11</v>
      </c>
      <c r="E15" s="30">
        <v>24</v>
      </c>
      <c r="F15" s="75"/>
      <c r="G15" s="75">
        <f t="shared" si="6"/>
        <v>62.5</v>
      </c>
      <c r="H15" s="155" t="s">
        <v>11</v>
      </c>
      <c r="I15" s="30">
        <v>7.62</v>
      </c>
      <c r="J15" s="75"/>
      <c r="K15" s="78">
        <f t="shared" si="7"/>
        <v>-5.3941908713692905</v>
      </c>
      <c r="L15" s="142"/>
      <c r="M15" s="142"/>
      <c r="N15" s="142"/>
      <c r="O15" s="142"/>
      <c r="P15" s="142"/>
      <c r="Q15" s="142"/>
      <c r="R15" s="142"/>
    </row>
    <row r="16" spans="1:18" ht="24.75" customHeight="1" x14ac:dyDescent="0.25">
      <c r="A16" s="219">
        <v>7</v>
      </c>
      <c r="B16" s="190" t="s">
        <v>20</v>
      </c>
      <c r="C16" s="189" t="s">
        <v>21</v>
      </c>
      <c r="D16" s="156" t="s">
        <v>9</v>
      </c>
      <c r="E16" s="40">
        <v>24</v>
      </c>
      <c r="F16" s="37">
        <v>60</v>
      </c>
      <c r="G16" s="41">
        <f t="shared" ref="G16:G18" si="8">($F$16-E16)*100/$F$16</f>
        <v>60</v>
      </c>
      <c r="H16" s="149" t="s">
        <v>9</v>
      </c>
      <c r="I16" s="40">
        <v>7.27</v>
      </c>
      <c r="J16" s="37">
        <v>7.04</v>
      </c>
      <c r="K16" s="41">
        <f t="shared" ref="K16:K18" si="9">($J$16-I16)*100/$J$16</f>
        <v>-3.2670454545454479</v>
      </c>
      <c r="L16" s="142"/>
      <c r="M16" s="142"/>
      <c r="N16" s="142"/>
      <c r="O16" s="142"/>
      <c r="P16" s="142"/>
      <c r="Q16" s="142"/>
      <c r="R16" s="142"/>
    </row>
    <row r="17" spans="1:18" ht="24.75" customHeight="1" x14ac:dyDescent="0.25">
      <c r="A17" s="212"/>
      <c r="B17" s="171"/>
      <c r="C17" s="174"/>
      <c r="D17" s="42" t="s">
        <v>10</v>
      </c>
      <c r="E17" s="43">
        <v>24</v>
      </c>
      <c r="F17" s="44"/>
      <c r="G17" s="47">
        <f t="shared" si="8"/>
        <v>60</v>
      </c>
      <c r="H17" s="150" t="s">
        <v>10</v>
      </c>
      <c r="I17" s="43">
        <v>7.49</v>
      </c>
      <c r="J17" s="44"/>
      <c r="K17" s="47">
        <f t="shared" si="9"/>
        <v>-6.3920454545454568</v>
      </c>
      <c r="L17" s="142"/>
      <c r="M17" s="142"/>
      <c r="N17" s="142"/>
      <c r="O17" s="142"/>
      <c r="P17" s="142"/>
      <c r="Q17" s="142"/>
      <c r="R17" s="142"/>
    </row>
    <row r="18" spans="1:18" ht="24.75" customHeight="1" thickBot="1" x14ac:dyDescent="0.3">
      <c r="A18" s="213"/>
      <c r="B18" s="172"/>
      <c r="C18" s="175"/>
      <c r="D18" s="48" t="s">
        <v>11</v>
      </c>
      <c r="E18" s="49">
        <v>32</v>
      </c>
      <c r="F18" s="51"/>
      <c r="G18" s="54">
        <f t="shared" si="8"/>
        <v>46.666666666666664</v>
      </c>
      <c r="H18" s="151" t="s">
        <v>11</v>
      </c>
      <c r="I18" s="49">
        <v>7.76</v>
      </c>
      <c r="J18" s="51"/>
      <c r="K18" s="54">
        <f t="shared" si="9"/>
        <v>-10.227272727272723</v>
      </c>
      <c r="L18" s="142"/>
      <c r="M18" s="142"/>
      <c r="N18" s="142"/>
      <c r="O18" s="142"/>
      <c r="P18" s="142"/>
      <c r="Q18" s="142"/>
      <c r="R18" s="142"/>
    </row>
    <row r="19" spans="1:18" ht="24.75" customHeight="1" x14ac:dyDescent="0.25">
      <c r="A19" s="219">
        <v>8</v>
      </c>
      <c r="B19" s="190" t="s">
        <v>22</v>
      </c>
      <c r="C19" s="189" t="s">
        <v>23</v>
      </c>
      <c r="D19" s="35" t="s">
        <v>9</v>
      </c>
      <c r="E19" s="40">
        <v>26</v>
      </c>
      <c r="F19" s="37">
        <v>60</v>
      </c>
      <c r="G19" s="41">
        <f t="shared" ref="G19:G21" si="10">($F$19-E19)*100/$F$19</f>
        <v>56.666666666666664</v>
      </c>
      <c r="H19" s="149" t="s">
        <v>9</v>
      </c>
      <c r="I19" s="40">
        <v>8.08</v>
      </c>
      <c r="J19" s="37">
        <v>7.63</v>
      </c>
      <c r="K19" s="41">
        <f t="shared" ref="K19:K21" si="11">($J$19-I19)*100/$J$19</f>
        <v>-5.8977719528178261</v>
      </c>
      <c r="L19" s="142"/>
      <c r="M19" s="142"/>
      <c r="N19" s="142"/>
      <c r="O19" s="142"/>
      <c r="P19" s="142"/>
      <c r="Q19" s="142"/>
      <c r="R19" s="142"/>
    </row>
    <row r="20" spans="1:18" ht="24.75" customHeight="1" x14ac:dyDescent="0.25">
      <c r="A20" s="212"/>
      <c r="B20" s="171"/>
      <c r="C20" s="174"/>
      <c r="D20" s="42" t="s">
        <v>10</v>
      </c>
      <c r="E20" s="43">
        <v>24</v>
      </c>
      <c r="F20" s="44"/>
      <c r="G20" s="47">
        <f t="shared" si="10"/>
        <v>60</v>
      </c>
      <c r="H20" s="150" t="s">
        <v>10</v>
      </c>
      <c r="I20" s="43">
        <v>7.95</v>
      </c>
      <c r="J20" s="44"/>
      <c r="K20" s="47">
        <f t="shared" si="11"/>
        <v>-4.1939711664482342</v>
      </c>
      <c r="L20" s="142"/>
      <c r="M20" s="142"/>
      <c r="N20" s="142"/>
      <c r="O20" s="142"/>
      <c r="P20" s="142"/>
      <c r="Q20" s="142"/>
      <c r="R20" s="142"/>
    </row>
    <row r="21" spans="1:18" ht="24.75" customHeight="1" thickBot="1" x14ac:dyDescent="0.3">
      <c r="A21" s="213"/>
      <c r="B21" s="172"/>
      <c r="C21" s="175"/>
      <c r="D21" s="48" t="s">
        <v>11</v>
      </c>
      <c r="E21" s="49">
        <v>34</v>
      </c>
      <c r="F21" s="51"/>
      <c r="G21" s="54">
        <f t="shared" si="10"/>
        <v>43.333333333333336</v>
      </c>
      <c r="H21" s="151" t="s">
        <v>11</v>
      </c>
      <c r="I21" s="49">
        <v>8.01</v>
      </c>
      <c r="J21" s="51"/>
      <c r="K21" s="54">
        <f t="shared" si="11"/>
        <v>-4.9803407601572722</v>
      </c>
      <c r="L21" s="142"/>
      <c r="M21" s="142"/>
      <c r="N21" s="142"/>
      <c r="O21" s="142"/>
      <c r="P21" s="142"/>
      <c r="Q21" s="142"/>
      <c r="R21" s="142"/>
    </row>
    <row r="22" spans="1:18" ht="24.75" customHeight="1" x14ac:dyDescent="0.25">
      <c r="A22" s="219">
        <v>9</v>
      </c>
      <c r="B22" s="188" t="s">
        <v>24</v>
      </c>
      <c r="C22" s="189" t="s">
        <v>25</v>
      </c>
      <c r="D22" s="35" t="s">
        <v>9</v>
      </c>
      <c r="E22" s="40">
        <v>24</v>
      </c>
      <c r="F22" s="37">
        <v>58</v>
      </c>
      <c r="G22" s="41">
        <f t="shared" ref="G22:G24" si="12">($F$22-E22)*100/$F$22</f>
        <v>58.620689655172413</v>
      </c>
      <c r="H22" s="149" t="s">
        <v>9</v>
      </c>
      <c r="I22" s="40">
        <v>8.1</v>
      </c>
      <c r="J22" s="37">
        <v>6.85</v>
      </c>
      <c r="K22" s="41">
        <f t="shared" ref="K22:K24" si="13">($J$22-I22)*100/$J$22</f>
        <v>-18.248175182481752</v>
      </c>
      <c r="L22" s="142"/>
      <c r="M22" s="142"/>
      <c r="N22" s="142"/>
      <c r="O22" s="142"/>
      <c r="P22" s="142"/>
      <c r="Q22" s="142"/>
      <c r="R22" s="142"/>
    </row>
    <row r="23" spans="1:18" ht="24.75" customHeight="1" x14ac:dyDescent="0.25">
      <c r="A23" s="212"/>
      <c r="B23" s="171"/>
      <c r="C23" s="174"/>
      <c r="D23" s="42" t="s">
        <v>10</v>
      </c>
      <c r="E23" s="43">
        <v>18</v>
      </c>
      <c r="F23" s="44"/>
      <c r="G23" s="47">
        <f t="shared" si="12"/>
        <v>68.965517241379317</v>
      </c>
      <c r="H23" s="150" t="s">
        <v>10</v>
      </c>
      <c r="I23" s="43">
        <v>8.09</v>
      </c>
      <c r="J23" s="44"/>
      <c r="K23" s="47">
        <f t="shared" si="13"/>
        <v>-18.102189781021902</v>
      </c>
      <c r="L23" s="142"/>
      <c r="M23" s="142"/>
      <c r="N23" s="142"/>
      <c r="O23" s="142"/>
      <c r="P23" s="142"/>
      <c r="Q23" s="142"/>
      <c r="R23" s="142"/>
    </row>
    <row r="24" spans="1:18" ht="24.75" customHeight="1" thickBot="1" x14ac:dyDescent="0.3">
      <c r="A24" s="213"/>
      <c r="B24" s="172"/>
      <c r="C24" s="175"/>
      <c r="D24" s="48" t="s">
        <v>11</v>
      </c>
      <c r="E24" s="49">
        <v>32</v>
      </c>
      <c r="F24" s="51"/>
      <c r="G24" s="54">
        <f t="shared" si="12"/>
        <v>44.827586206896555</v>
      </c>
      <c r="H24" s="151" t="s">
        <v>11</v>
      </c>
      <c r="I24" s="49">
        <v>8.65</v>
      </c>
      <c r="J24" s="51"/>
      <c r="K24" s="54">
        <f t="shared" si="13"/>
        <v>-26.277372262773731</v>
      </c>
      <c r="L24" s="142"/>
      <c r="M24" s="142"/>
      <c r="N24" s="142"/>
      <c r="O24" s="142"/>
      <c r="P24" s="142"/>
      <c r="Q24" s="142"/>
      <c r="R24" s="142"/>
    </row>
    <row r="25" spans="1:18" ht="24.75" customHeight="1" x14ac:dyDescent="0.25">
      <c r="A25" s="215">
        <v>10</v>
      </c>
      <c r="B25" s="184" t="s">
        <v>26</v>
      </c>
      <c r="C25" s="180" t="s">
        <v>27</v>
      </c>
      <c r="D25" s="67" t="s">
        <v>9</v>
      </c>
      <c r="E25" s="73">
        <v>37</v>
      </c>
      <c r="F25" s="69">
        <v>75</v>
      </c>
      <c r="G25" s="69">
        <f t="shared" ref="G25:G27" si="14">($F$25-E25)*100/$F$25</f>
        <v>50.666666666666664</v>
      </c>
      <c r="H25" s="154" t="s">
        <v>9</v>
      </c>
      <c r="I25" s="73">
        <v>7.52</v>
      </c>
      <c r="J25" s="69">
        <v>7.68</v>
      </c>
      <c r="K25" s="72">
        <f t="shared" ref="K25:K27" si="15">($J$25-I25)*100/$J$25</f>
        <v>2.0833333333333353</v>
      </c>
      <c r="L25" s="142"/>
      <c r="M25" s="142"/>
      <c r="N25" s="142"/>
      <c r="O25" s="142"/>
      <c r="P25" s="142"/>
      <c r="Q25" s="142"/>
      <c r="R25" s="142"/>
    </row>
    <row r="26" spans="1:18" ht="24.75" customHeight="1" x14ac:dyDescent="0.25">
      <c r="A26" s="216"/>
      <c r="B26" s="171"/>
      <c r="C26" s="174"/>
      <c r="D26" s="23" t="s">
        <v>10</v>
      </c>
      <c r="E26" s="24">
        <v>26</v>
      </c>
      <c r="F26" s="25"/>
      <c r="G26" s="25">
        <f t="shared" si="14"/>
        <v>65.333333333333329</v>
      </c>
      <c r="H26" s="138" t="s">
        <v>10</v>
      </c>
      <c r="I26" s="24">
        <v>7.46</v>
      </c>
      <c r="J26" s="25"/>
      <c r="K26" s="28">
        <f t="shared" si="15"/>
        <v>2.8645833333333304</v>
      </c>
      <c r="L26" s="142"/>
      <c r="M26" s="142"/>
      <c r="N26" s="142"/>
      <c r="O26" s="142"/>
      <c r="P26" s="142"/>
      <c r="Q26" s="142"/>
      <c r="R26" s="142"/>
    </row>
    <row r="27" spans="1:18" ht="24.75" customHeight="1" thickBot="1" x14ac:dyDescent="0.3">
      <c r="A27" s="216"/>
      <c r="B27" s="179"/>
      <c r="C27" s="181"/>
      <c r="D27" s="74" t="s">
        <v>11</v>
      </c>
      <c r="E27" s="79">
        <v>36</v>
      </c>
      <c r="F27" s="75"/>
      <c r="G27" s="75">
        <f t="shared" si="14"/>
        <v>52</v>
      </c>
      <c r="H27" s="155" t="s">
        <v>11</v>
      </c>
      <c r="I27" s="79">
        <v>7.29</v>
      </c>
      <c r="J27" s="75"/>
      <c r="K27" s="78">
        <f t="shared" si="15"/>
        <v>5.0781249999999964</v>
      </c>
      <c r="L27" s="142"/>
      <c r="M27" s="142"/>
      <c r="N27" s="142"/>
      <c r="O27" s="142"/>
      <c r="P27" s="142"/>
      <c r="Q27" s="142"/>
      <c r="R27" s="142"/>
    </row>
    <row r="28" spans="1:18" ht="24.75" customHeight="1" x14ac:dyDescent="0.25">
      <c r="A28" s="219">
        <v>11</v>
      </c>
      <c r="B28" s="190" t="s">
        <v>28</v>
      </c>
      <c r="C28" s="189" t="s">
        <v>29</v>
      </c>
      <c r="D28" s="35" t="s">
        <v>9</v>
      </c>
      <c r="E28" s="40">
        <v>30</v>
      </c>
      <c r="F28" s="37">
        <v>46</v>
      </c>
      <c r="G28" s="41">
        <f t="shared" ref="G28:G30" si="16">($F$28-E28)*100/$F$28</f>
        <v>34.782608695652172</v>
      </c>
      <c r="H28" s="149" t="s">
        <v>9</v>
      </c>
      <c r="I28" s="40">
        <v>7.45</v>
      </c>
      <c r="J28" s="37">
        <v>6.9</v>
      </c>
      <c r="K28" s="41">
        <f t="shared" ref="K28:K30" si="17">($J$28-I28)*100/$J$28</f>
        <v>-7.9710144927536204</v>
      </c>
      <c r="L28" s="142"/>
      <c r="M28" s="142"/>
      <c r="N28" s="142"/>
      <c r="O28" s="142"/>
      <c r="P28" s="142"/>
      <c r="Q28" s="142"/>
      <c r="R28" s="142"/>
    </row>
    <row r="29" spans="1:18" ht="24.75" customHeight="1" x14ac:dyDescent="0.25">
      <c r="A29" s="212"/>
      <c r="B29" s="171"/>
      <c r="C29" s="174"/>
      <c r="D29" s="42" t="s">
        <v>10</v>
      </c>
      <c r="E29" s="43">
        <v>26</v>
      </c>
      <c r="F29" s="44"/>
      <c r="G29" s="47">
        <f t="shared" si="16"/>
        <v>43.478260869565219</v>
      </c>
      <c r="H29" s="150" t="s">
        <v>10</v>
      </c>
      <c r="I29" s="43">
        <v>7.32</v>
      </c>
      <c r="J29" s="44"/>
      <c r="K29" s="47">
        <f t="shared" si="17"/>
        <v>-6.086956521739129</v>
      </c>
      <c r="L29" s="142"/>
      <c r="M29" s="142"/>
      <c r="N29" s="142"/>
      <c r="O29" s="142"/>
      <c r="P29" s="142"/>
      <c r="Q29" s="142"/>
      <c r="R29" s="142"/>
    </row>
    <row r="30" spans="1:18" ht="24.75" customHeight="1" thickBot="1" x14ac:dyDescent="0.3">
      <c r="A30" s="213"/>
      <c r="B30" s="172"/>
      <c r="C30" s="175"/>
      <c r="D30" s="48" t="s">
        <v>11</v>
      </c>
      <c r="E30" s="49">
        <v>34</v>
      </c>
      <c r="F30" s="51"/>
      <c r="G30" s="54">
        <f t="shared" si="16"/>
        <v>26.086956521739129</v>
      </c>
      <c r="H30" s="151" t="s">
        <v>11</v>
      </c>
      <c r="I30" s="49">
        <v>7.85</v>
      </c>
      <c r="J30" s="51"/>
      <c r="K30" s="54">
        <f t="shared" si="17"/>
        <v>-13.768115942028974</v>
      </c>
      <c r="L30" s="142"/>
      <c r="M30" s="142"/>
      <c r="N30" s="142"/>
      <c r="O30" s="142"/>
      <c r="P30" s="142"/>
      <c r="Q30" s="142"/>
      <c r="R30" s="142"/>
    </row>
    <row r="31" spans="1:18" ht="24.75" customHeight="1" x14ac:dyDescent="0.25">
      <c r="A31" s="219">
        <v>12</v>
      </c>
      <c r="B31" s="188" t="s">
        <v>30</v>
      </c>
      <c r="C31" s="189" t="s">
        <v>31</v>
      </c>
      <c r="D31" s="35" t="s">
        <v>9</v>
      </c>
      <c r="E31" s="40">
        <v>20</v>
      </c>
      <c r="F31" s="37">
        <v>46</v>
      </c>
      <c r="G31" s="41">
        <f t="shared" ref="G31:G33" si="18">($F$31-E31)*100/$F$31</f>
        <v>56.521739130434781</v>
      </c>
      <c r="H31" s="149" t="s">
        <v>9</v>
      </c>
      <c r="I31" s="40">
        <v>7.63</v>
      </c>
      <c r="J31" s="37">
        <v>7.68</v>
      </c>
      <c r="K31" s="41">
        <f t="shared" ref="K31:K33" si="19">($J$31-I31)*100/$J$31</f>
        <v>0.65104166666666441</v>
      </c>
      <c r="L31" s="142"/>
      <c r="M31" s="142"/>
      <c r="N31" s="142"/>
      <c r="O31" s="142"/>
      <c r="P31" s="142"/>
      <c r="Q31" s="142"/>
      <c r="R31" s="142"/>
    </row>
    <row r="32" spans="1:18" ht="24.75" customHeight="1" x14ac:dyDescent="0.25">
      <c r="A32" s="212"/>
      <c r="B32" s="171"/>
      <c r="C32" s="174"/>
      <c r="D32" s="42" t="s">
        <v>10</v>
      </c>
      <c r="E32" s="43">
        <v>20</v>
      </c>
      <c r="F32" s="44"/>
      <c r="G32" s="47">
        <f t="shared" si="18"/>
        <v>56.521739130434781</v>
      </c>
      <c r="H32" s="150" t="s">
        <v>10</v>
      </c>
      <c r="I32" s="43">
        <v>7.46</v>
      </c>
      <c r="J32" s="44"/>
      <c r="K32" s="47">
        <f t="shared" si="19"/>
        <v>2.8645833333333304</v>
      </c>
      <c r="L32" s="142"/>
      <c r="M32" s="142"/>
      <c r="N32" s="142"/>
      <c r="O32" s="142"/>
      <c r="P32" s="142"/>
      <c r="Q32" s="142"/>
      <c r="R32" s="142"/>
    </row>
    <row r="33" spans="1:18" ht="24.75" customHeight="1" thickBot="1" x14ac:dyDescent="0.3">
      <c r="A33" s="213"/>
      <c r="B33" s="172"/>
      <c r="C33" s="175"/>
      <c r="D33" s="48" t="s">
        <v>11</v>
      </c>
      <c r="E33" s="49">
        <v>28</v>
      </c>
      <c r="F33" s="51"/>
      <c r="G33" s="54">
        <f t="shared" si="18"/>
        <v>39.130434782608695</v>
      </c>
      <c r="H33" s="151" t="s">
        <v>11</v>
      </c>
      <c r="I33" s="49">
        <v>7.64</v>
      </c>
      <c r="J33" s="51"/>
      <c r="K33" s="54">
        <f t="shared" si="19"/>
        <v>0.52083333333333381</v>
      </c>
      <c r="L33" s="142"/>
      <c r="M33" s="142"/>
      <c r="N33" s="142"/>
      <c r="O33" s="142"/>
      <c r="P33" s="142"/>
      <c r="Q33" s="142"/>
      <c r="R33" s="142"/>
    </row>
    <row r="34" spans="1:18" ht="24.75" customHeight="1" x14ac:dyDescent="0.25">
      <c r="A34" s="219">
        <v>13</v>
      </c>
      <c r="B34" s="190" t="s">
        <v>32</v>
      </c>
      <c r="C34" s="189" t="s">
        <v>33</v>
      </c>
      <c r="D34" s="35" t="s">
        <v>9</v>
      </c>
      <c r="E34" s="40">
        <v>26</v>
      </c>
      <c r="F34" s="37">
        <v>58</v>
      </c>
      <c r="G34" s="41">
        <f t="shared" ref="G34:G36" si="20">($F$34-E34)*100/$F$34</f>
        <v>55.172413793103445</v>
      </c>
      <c r="H34" s="149" t="s">
        <v>9</v>
      </c>
      <c r="I34" s="40">
        <v>6.9</v>
      </c>
      <c r="J34" s="37">
        <v>7.23</v>
      </c>
      <c r="K34" s="41">
        <f t="shared" ref="K34:K36" si="21">($J$34-I34)*100/$J$34</f>
        <v>4.5643153526970961</v>
      </c>
      <c r="L34" s="142"/>
      <c r="M34" s="142"/>
      <c r="N34" s="142"/>
      <c r="O34" s="142"/>
      <c r="P34" s="142"/>
      <c r="Q34" s="142"/>
      <c r="R34" s="142"/>
    </row>
    <row r="35" spans="1:18" ht="24.75" customHeight="1" x14ac:dyDescent="0.25">
      <c r="A35" s="212"/>
      <c r="B35" s="171"/>
      <c r="C35" s="174"/>
      <c r="D35" s="42" t="s">
        <v>10</v>
      </c>
      <c r="E35" s="43">
        <v>20</v>
      </c>
      <c r="F35" s="44"/>
      <c r="G35" s="47">
        <f t="shared" si="20"/>
        <v>65.517241379310349</v>
      </c>
      <c r="H35" s="150" t="s">
        <v>10</v>
      </c>
      <c r="I35" s="43">
        <v>7.09</v>
      </c>
      <c r="J35" s="44"/>
      <c r="K35" s="47">
        <f t="shared" si="21"/>
        <v>1.9363762102351392</v>
      </c>
      <c r="L35" s="142"/>
      <c r="M35" s="142"/>
      <c r="N35" s="142"/>
      <c r="O35" s="142"/>
      <c r="P35" s="142"/>
      <c r="Q35" s="142"/>
      <c r="R35" s="142"/>
    </row>
    <row r="36" spans="1:18" ht="24.75" customHeight="1" thickBot="1" x14ac:dyDescent="0.3">
      <c r="A36" s="213"/>
      <c r="B36" s="172"/>
      <c r="C36" s="175"/>
      <c r="D36" s="157" t="s">
        <v>11</v>
      </c>
      <c r="E36" s="49">
        <v>32</v>
      </c>
      <c r="F36" s="51"/>
      <c r="G36" s="54">
        <f t="shared" si="20"/>
        <v>44.827586206896555</v>
      </c>
      <c r="H36" s="151" t="s">
        <v>11</v>
      </c>
      <c r="I36" s="49">
        <v>7.45</v>
      </c>
      <c r="J36" s="51"/>
      <c r="K36" s="54">
        <f t="shared" si="21"/>
        <v>-3.0428769017980599</v>
      </c>
      <c r="L36" s="142"/>
      <c r="M36" s="142"/>
      <c r="N36" s="142"/>
      <c r="O36" s="142"/>
      <c r="P36" s="142"/>
      <c r="Q36" s="142"/>
      <c r="R36" s="142"/>
    </row>
    <row r="37" spans="1:18" ht="24.75" customHeight="1" x14ac:dyDescent="0.25">
      <c r="A37" s="215">
        <v>16</v>
      </c>
      <c r="B37" s="184" t="s">
        <v>34</v>
      </c>
      <c r="C37" s="180" t="s">
        <v>35</v>
      </c>
      <c r="D37" s="17" t="s">
        <v>9</v>
      </c>
      <c r="E37" s="24">
        <v>20</v>
      </c>
      <c r="F37" s="25">
        <v>57</v>
      </c>
      <c r="G37" s="25">
        <f t="shared" ref="G37:G39" si="22">($F$37-E37)*100/$F$37</f>
        <v>64.912280701754383</v>
      </c>
      <c r="H37" s="138" t="s">
        <v>9</v>
      </c>
      <c r="I37" s="24">
        <v>7.43</v>
      </c>
      <c r="J37" s="25">
        <v>7.54</v>
      </c>
      <c r="K37" s="28">
        <f t="shared" ref="K37:K39" si="23">($J$37-I37)*100/$J$37</f>
        <v>1.4588859416445665</v>
      </c>
      <c r="L37" s="142"/>
      <c r="M37" s="142"/>
      <c r="N37" s="142"/>
      <c r="O37" s="142"/>
      <c r="P37" s="142"/>
      <c r="Q37" s="142"/>
      <c r="R37" s="142"/>
    </row>
    <row r="38" spans="1:18" ht="24.75" customHeight="1" x14ac:dyDescent="0.25">
      <c r="A38" s="216"/>
      <c r="B38" s="171"/>
      <c r="C38" s="174"/>
      <c r="D38" s="23" t="s">
        <v>10</v>
      </c>
      <c r="E38" s="24">
        <v>16</v>
      </c>
      <c r="F38" s="25"/>
      <c r="G38" s="25">
        <f t="shared" si="22"/>
        <v>71.929824561403507</v>
      </c>
      <c r="H38" s="138" t="s">
        <v>10</v>
      </c>
      <c r="I38" s="24">
        <v>7.53</v>
      </c>
      <c r="J38" s="25"/>
      <c r="K38" s="28">
        <f t="shared" si="23"/>
        <v>0.13262599469495739</v>
      </c>
      <c r="L38" s="142"/>
      <c r="M38" s="142"/>
      <c r="N38" s="142"/>
      <c r="O38" s="142"/>
      <c r="P38" s="142"/>
      <c r="Q38" s="142"/>
      <c r="R38" s="142"/>
    </row>
    <row r="39" spans="1:18" ht="24.75" customHeight="1" thickBot="1" x14ac:dyDescent="0.3">
      <c r="A39" s="216"/>
      <c r="B39" s="179"/>
      <c r="C39" s="181"/>
      <c r="D39" s="29" t="s">
        <v>11</v>
      </c>
      <c r="E39" s="79">
        <v>28</v>
      </c>
      <c r="F39" s="75"/>
      <c r="G39" s="75">
        <f t="shared" si="22"/>
        <v>50.877192982456137</v>
      </c>
      <c r="H39" s="155" t="s">
        <v>11</v>
      </c>
      <c r="I39" s="79">
        <v>7.59</v>
      </c>
      <c r="J39" s="75"/>
      <c r="K39" s="78">
        <f t="shared" si="23"/>
        <v>-0.66312997347479874</v>
      </c>
      <c r="L39" s="142"/>
      <c r="M39" s="142"/>
      <c r="N39" s="142"/>
      <c r="O39" s="142"/>
      <c r="P39" s="142"/>
      <c r="Q39" s="142"/>
      <c r="R39" s="142"/>
    </row>
    <row r="40" spans="1:18" ht="24.75" customHeight="1" x14ac:dyDescent="0.25">
      <c r="A40" s="219">
        <v>17</v>
      </c>
      <c r="B40" s="188" t="s">
        <v>36</v>
      </c>
      <c r="C40" s="189" t="s">
        <v>37</v>
      </c>
      <c r="D40" s="156" t="s">
        <v>9</v>
      </c>
      <c r="E40" s="40">
        <v>30</v>
      </c>
      <c r="F40" s="37">
        <v>50</v>
      </c>
      <c r="G40" s="41">
        <f t="shared" ref="G40:G42" si="24">($F$40-E40)*100/$F$40</f>
        <v>40</v>
      </c>
      <c r="H40" s="149" t="s">
        <v>9</v>
      </c>
      <c r="I40" s="40">
        <v>7.92</v>
      </c>
      <c r="J40" s="37">
        <v>7.87</v>
      </c>
      <c r="K40" s="41">
        <f t="shared" ref="K40:K42" si="25">($J$40-I40)*100/$J$40</f>
        <v>-0.63532401524777415</v>
      </c>
      <c r="L40" s="142"/>
      <c r="M40" s="142"/>
      <c r="N40" s="142"/>
      <c r="O40" s="142"/>
      <c r="P40" s="142"/>
      <c r="Q40" s="142"/>
      <c r="R40" s="142"/>
    </row>
    <row r="41" spans="1:18" ht="24.75" customHeight="1" x14ac:dyDescent="0.25">
      <c r="A41" s="212"/>
      <c r="B41" s="171"/>
      <c r="C41" s="174"/>
      <c r="D41" s="42" t="s">
        <v>10</v>
      </c>
      <c r="E41" s="43">
        <v>24</v>
      </c>
      <c r="F41" s="44"/>
      <c r="G41" s="47">
        <f t="shared" si="24"/>
        <v>52</v>
      </c>
      <c r="H41" s="150" t="s">
        <v>10</v>
      </c>
      <c r="I41" s="43">
        <v>7.03</v>
      </c>
      <c r="J41" s="44"/>
      <c r="K41" s="47">
        <f t="shared" si="25"/>
        <v>10.673443456162641</v>
      </c>
      <c r="L41" s="142"/>
      <c r="M41" s="142"/>
      <c r="N41" s="142"/>
      <c r="O41" s="142"/>
      <c r="P41" s="142"/>
      <c r="Q41" s="142"/>
      <c r="R41" s="142"/>
    </row>
    <row r="42" spans="1:18" ht="24.75" customHeight="1" thickBot="1" x14ac:dyDescent="0.3">
      <c r="A42" s="213"/>
      <c r="B42" s="172"/>
      <c r="C42" s="175"/>
      <c r="D42" s="48" t="s">
        <v>11</v>
      </c>
      <c r="E42" s="49">
        <v>34</v>
      </c>
      <c r="F42" s="51"/>
      <c r="G42" s="54">
        <f t="shared" si="24"/>
        <v>32</v>
      </c>
      <c r="H42" s="158" t="s">
        <v>11</v>
      </c>
      <c r="I42" s="49">
        <v>8.1300000000000008</v>
      </c>
      <c r="J42" s="51"/>
      <c r="K42" s="54">
        <f t="shared" si="25"/>
        <v>-3.3036848792884457</v>
      </c>
      <c r="L42" s="142"/>
      <c r="M42" s="142"/>
      <c r="N42" s="142"/>
      <c r="O42" s="142"/>
      <c r="P42" s="142"/>
      <c r="Q42" s="142"/>
      <c r="R42" s="142"/>
    </row>
    <row r="43" spans="1:18" ht="24.75" customHeight="1" x14ac:dyDescent="0.25">
      <c r="A43" s="219">
        <v>18</v>
      </c>
      <c r="B43" s="188" t="s">
        <v>38</v>
      </c>
      <c r="C43" s="189" t="s">
        <v>39</v>
      </c>
      <c r="D43" s="35" t="s">
        <v>9</v>
      </c>
      <c r="E43" s="40">
        <v>18</v>
      </c>
      <c r="F43" s="37">
        <v>50</v>
      </c>
      <c r="G43" s="41">
        <f t="shared" ref="G43:G45" si="26">($F$43-E43)*100/$F$43</f>
        <v>64</v>
      </c>
      <c r="H43" s="149" t="s">
        <v>9</v>
      </c>
      <c r="I43" s="40">
        <v>8.1199999999999992</v>
      </c>
      <c r="J43" s="37">
        <v>7.54</v>
      </c>
      <c r="K43" s="41">
        <f t="shared" ref="K43:K45" si="27">($J$43-I43)*100/$J$43</f>
        <v>-7.692307692307681</v>
      </c>
      <c r="L43" s="142"/>
      <c r="M43" s="142"/>
      <c r="N43" s="142"/>
      <c r="O43" s="142"/>
      <c r="P43" s="142"/>
      <c r="Q43" s="142"/>
      <c r="R43" s="142"/>
    </row>
    <row r="44" spans="1:18" ht="24.75" customHeight="1" x14ac:dyDescent="0.25">
      <c r="A44" s="212"/>
      <c r="B44" s="171"/>
      <c r="C44" s="174"/>
      <c r="D44" s="42" t="s">
        <v>10</v>
      </c>
      <c r="E44" s="43">
        <v>20</v>
      </c>
      <c r="F44" s="44"/>
      <c r="G44" s="47">
        <f t="shared" si="26"/>
        <v>60</v>
      </c>
      <c r="H44" s="150" t="s">
        <v>10</v>
      </c>
      <c r="I44" s="43">
        <v>8</v>
      </c>
      <c r="J44" s="44"/>
      <c r="K44" s="47">
        <f t="shared" si="27"/>
        <v>-6.1007957559681696</v>
      </c>
      <c r="L44" s="142"/>
      <c r="M44" s="142"/>
      <c r="N44" s="142"/>
      <c r="O44" s="142"/>
      <c r="P44" s="142"/>
      <c r="Q44" s="142"/>
      <c r="R44" s="142"/>
    </row>
    <row r="45" spans="1:18" ht="24.75" customHeight="1" thickBot="1" x14ac:dyDescent="0.3">
      <c r="A45" s="213"/>
      <c r="B45" s="172"/>
      <c r="C45" s="175"/>
      <c r="D45" s="48" t="s">
        <v>11</v>
      </c>
      <c r="E45" s="49">
        <v>26</v>
      </c>
      <c r="F45" s="51"/>
      <c r="G45" s="54">
        <f t="shared" si="26"/>
        <v>48</v>
      </c>
      <c r="H45" s="151" t="s">
        <v>11</v>
      </c>
      <c r="I45" s="49">
        <v>7.84</v>
      </c>
      <c r="J45" s="51"/>
      <c r="K45" s="54">
        <f t="shared" si="27"/>
        <v>-3.9787798408488042</v>
      </c>
      <c r="L45" s="142"/>
      <c r="M45" s="142"/>
      <c r="N45" s="142"/>
      <c r="O45" s="142"/>
      <c r="P45" s="142"/>
      <c r="Q45" s="142"/>
      <c r="R45" s="142"/>
    </row>
    <row r="46" spans="1:18" ht="24.75" customHeight="1" x14ac:dyDescent="0.25">
      <c r="A46" s="217">
        <v>20</v>
      </c>
      <c r="B46" s="186" t="s">
        <v>40</v>
      </c>
      <c r="C46" s="173" t="s">
        <v>41</v>
      </c>
      <c r="D46" s="55" t="s">
        <v>9</v>
      </c>
      <c r="E46" s="56">
        <v>30</v>
      </c>
      <c r="F46" s="57">
        <v>68</v>
      </c>
      <c r="G46" s="57">
        <f t="shared" ref="G46:G48" si="28">($F$46-E46)*100/$F$46</f>
        <v>55.882352941176471</v>
      </c>
      <c r="H46" s="152" t="s">
        <v>9</v>
      </c>
      <c r="I46" s="56">
        <v>7.95</v>
      </c>
      <c r="J46" s="57">
        <v>7.97</v>
      </c>
      <c r="K46" s="60">
        <f t="shared" ref="K46:K48" si="29">($J$46-I46)*100/$J$46</f>
        <v>0.25094102885821296</v>
      </c>
      <c r="L46" s="142"/>
      <c r="M46" s="142"/>
      <c r="N46" s="142"/>
      <c r="O46" s="142"/>
      <c r="P46" s="142"/>
      <c r="Q46" s="142"/>
      <c r="R46" s="142"/>
    </row>
    <row r="47" spans="1:18" ht="24.75" customHeight="1" x14ac:dyDescent="0.25">
      <c r="A47" s="212"/>
      <c r="B47" s="171"/>
      <c r="C47" s="174"/>
      <c r="D47" s="5" t="s">
        <v>10</v>
      </c>
      <c r="E47" s="6">
        <v>20</v>
      </c>
      <c r="F47" s="7"/>
      <c r="G47" s="7">
        <f t="shared" si="28"/>
        <v>70.588235294117652</v>
      </c>
      <c r="H47" s="148" t="s">
        <v>10</v>
      </c>
      <c r="I47" s="6">
        <v>7.74</v>
      </c>
      <c r="J47" s="7"/>
      <c r="K47" s="10">
        <f t="shared" si="29"/>
        <v>2.8858218318695048</v>
      </c>
      <c r="L47" s="142"/>
      <c r="M47" s="142"/>
      <c r="N47" s="142"/>
      <c r="O47" s="142"/>
      <c r="P47" s="142"/>
      <c r="Q47" s="142"/>
      <c r="R47" s="142"/>
    </row>
    <row r="48" spans="1:18" ht="24.75" customHeight="1" thickBot="1" x14ac:dyDescent="0.3">
      <c r="A48" s="213"/>
      <c r="B48" s="172"/>
      <c r="C48" s="175"/>
      <c r="D48" s="61" t="s">
        <v>11</v>
      </c>
      <c r="E48" s="62">
        <v>30</v>
      </c>
      <c r="F48" s="63"/>
      <c r="G48" s="63">
        <f t="shared" si="28"/>
        <v>55.882352941176471</v>
      </c>
      <c r="H48" s="153" t="s">
        <v>11</v>
      </c>
      <c r="I48" s="62">
        <v>7.95</v>
      </c>
      <c r="J48" s="63"/>
      <c r="K48" s="66">
        <f t="shared" si="29"/>
        <v>0.25094102885821296</v>
      </c>
      <c r="L48" s="142"/>
      <c r="M48" s="142"/>
      <c r="N48" s="142"/>
      <c r="O48" s="142"/>
      <c r="P48" s="142"/>
      <c r="Q48" s="142"/>
      <c r="R48" s="142"/>
    </row>
    <row r="49" spans="1:18" ht="24.75" customHeight="1" x14ac:dyDescent="0.25">
      <c r="A49" s="217">
        <v>21</v>
      </c>
      <c r="B49" s="186" t="s">
        <v>42</v>
      </c>
      <c r="C49" s="173" t="s">
        <v>43</v>
      </c>
      <c r="D49" s="55" t="s">
        <v>9</v>
      </c>
      <c r="E49" s="56">
        <v>30</v>
      </c>
      <c r="F49" s="57">
        <v>65</v>
      </c>
      <c r="G49" s="57">
        <f t="shared" ref="G49:G51" si="30">($F$49-E49)*100/$F$49</f>
        <v>53.846153846153847</v>
      </c>
      <c r="H49" s="152" t="s">
        <v>9</v>
      </c>
      <c r="I49" s="56">
        <v>6.93</v>
      </c>
      <c r="J49" s="57">
        <v>7.94</v>
      </c>
      <c r="K49" s="60">
        <f t="shared" ref="K49:K51" si="31">($J$49-I49)*100/$J$49</f>
        <v>12.720403022670034</v>
      </c>
      <c r="L49" s="142"/>
      <c r="M49" s="142"/>
      <c r="N49" s="142"/>
      <c r="O49" s="142"/>
      <c r="P49" s="142"/>
      <c r="Q49" s="142"/>
      <c r="R49" s="142"/>
    </row>
    <row r="50" spans="1:18" ht="24.75" customHeight="1" x14ac:dyDescent="0.25">
      <c r="A50" s="212"/>
      <c r="B50" s="171"/>
      <c r="C50" s="174"/>
      <c r="D50" s="5" t="s">
        <v>10</v>
      </c>
      <c r="E50" s="6">
        <v>13</v>
      </c>
      <c r="F50" s="7"/>
      <c r="G50" s="7">
        <f t="shared" si="30"/>
        <v>80</v>
      </c>
      <c r="H50" s="148" t="s">
        <v>10</v>
      </c>
      <c r="I50" s="6">
        <v>7.14</v>
      </c>
      <c r="J50" s="7"/>
      <c r="K50" s="10">
        <f t="shared" si="31"/>
        <v>10.075566750629731</v>
      </c>
      <c r="L50" s="142"/>
      <c r="M50" s="142"/>
      <c r="N50" s="142"/>
      <c r="O50" s="142"/>
      <c r="P50" s="142"/>
      <c r="Q50" s="142"/>
      <c r="R50" s="142"/>
    </row>
    <row r="51" spans="1:18" ht="24.75" customHeight="1" thickBot="1" x14ac:dyDescent="0.3">
      <c r="A51" s="213"/>
      <c r="B51" s="172"/>
      <c r="C51" s="175"/>
      <c r="D51" s="61" t="s">
        <v>11</v>
      </c>
      <c r="E51" s="62">
        <v>29</v>
      </c>
      <c r="F51" s="63"/>
      <c r="G51" s="63">
        <f t="shared" si="30"/>
        <v>55.384615384615387</v>
      </c>
      <c r="H51" s="153" t="s">
        <v>11</v>
      </c>
      <c r="I51" s="62">
        <v>7.93</v>
      </c>
      <c r="J51" s="63"/>
      <c r="K51" s="66">
        <f t="shared" si="31"/>
        <v>0.12594458438288003</v>
      </c>
      <c r="L51" s="142"/>
      <c r="M51" s="142"/>
      <c r="N51" s="142"/>
      <c r="O51" s="142"/>
      <c r="P51" s="142"/>
      <c r="Q51" s="142"/>
      <c r="R51" s="142"/>
    </row>
    <row r="52" spans="1:18" ht="24.75" customHeight="1" x14ac:dyDescent="0.25">
      <c r="A52" s="217">
        <v>22</v>
      </c>
      <c r="B52" s="186" t="s">
        <v>44</v>
      </c>
      <c r="C52" s="173" t="s">
        <v>45</v>
      </c>
      <c r="D52" s="55" t="s">
        <v>9</v>
      </c>
      <c r="E52" s="56">
        <v>30</v>
      </c>
      <c r="F52" s="57">
        <v>54</v>
      </c>
      <c r="G52" s="57">
        <f t="shared" ref="G52:G54" si="32">($F$52-E52)*100/$F$52</f>
        <v>44.444444444444443</v>
      </c>
      <c r="H52" s="152" t="s">
        <v>9</v>
      </c>
      <c r="I52" s="56">
        <v>7.74</v>
      </c>
      <c r="J52" s="57">
        <v>7.66</v>
      </c>
      <c r="K52" s="60">
        <f t="shared" ref="K52:K54" si="33">($J$52-I52)*100/$J$52</f>
        <v>-1.0443864229765023</v>
      </c>
      <c r="L52" s="142"/>
      <c r="M52" s="142"/>
      <c r="N52" s="142"/>
      <c r="O52" s="142"/>
      <c r="P52" s="142"/>
      <c r="Q52" s="142"/>
      <c r="R52" s="142"/>
    </row>
    <row r="53" spans="1:18" ht="24.75" customHeight="1" x14ac:dyDescent="0.25">
      <c r="A53" s="212"/>
      <c r="B53" s="171"/>
      <c r="C53" s="174"/>
      <c r="D53" s="5" t="s">
        <v>10</v>
      </c>
      <c r="E53" s="6">
        <v>13</v>
      </c>
      <c r="F53" s="7"/>
      <c r="G53" s="7">
        <f t="shared" si="32"/>
        <v>75.925925925925924</v>
      </c>
      <c r="H53" s="148" t="s">
        <v>10</v>
      </c>
      <c r="I53" s="6">
        <v>7.17</v>
      </c>
      <c r="J53" s="7"/>
      <c r="K53" s="10">
        <f t="shared" si="33"/>
        <v>6.3968668407310734</v>
      </c>
      <c r="L53" s="142"/>
      <c r="M53" s="142"/>
      <c r="N53" s="142"/>
      <c r="O53" s="142"/>
      <c r="P53" s="142"/>
      <c r="Q53" s="142"/>
      <c r="R53" s="142"/>
    </row>
    <row r="54" spans="1:18" ht="24.75" customHeight="1" thickBot="1" x14ac:dyDescent="0.3">
      <c r="A54" s="213"/>
      <c r="B54" s="172"/>
      <c r="C54" s="175"/>
      <c r="D54" s="61" t="s">
        <v>11</v>
      </c>
      <c r="E54" s="62">
        <v>28</v>
      </c>
      <c r="F54" s="63"/>
      <c r="G54" s="63">
        <f t="shared" si="32"/>
        <v>48.148148148148145</v>
      </c>
      <c r="H54" s="153" t="s">
        <v>11</v>
      </c>
      <c r="I54" s="62">
        <v>7.85</v>
      </c>
      <c r="J54" s="63"/>
      <c r="K54" s="66">
        <f t="shared" si="33"/>
        <v>-2.4804177545691841</v>
      </c>
      <c r="L54" s="142"/>
      <c r="M54" s="142"/>
      <c r="N54" s="142"/>
      <c r="O54" s="142"/>
      <c r="P54" s="142"/>
      <c r="Q54" s="142"/>
      <c r="R54" s="142"/>
    </row>
    <row r="55" spans="1:18" ht="24.75" customHeight="1" x14ac:dyDescent="0.25">
      <c r="A55" s="218">
        <v>23</v>
      </c>
      <c r="B55" s="187" t="s">
        <v>46</v>
      </c>
      <c r="C55" s="173" t="s">
        <v>47</v>
      </c>
      <c r="D55" s="95" t="s">
        <v>9</v>
      </c>
      <c r="E55" s="56">
        <v>19</v>
      </c>
      <c r="F55" s="99">
        <v>30</v>
      </c>
      <c r="G55" s="99">
        <f t="shared" ref="G55:G57" si="34">($F$55-E55)*100/$F$55</f>
        <v>36.666666666666664</v>
      </c>
      <c r="H55" s="159" t="s">
        <v>9</v>
      </c>
      <c r="I55" s="56">
        <v>6.85</v>
      </c>
      <c r="J55" s="99">
        <v>6.23</v>
      </c>
      <c r="K55" s="60">
        <f t="shared" ref="K55:K57" si="35">($J$55-I55)*100/$J$55</f>
        <v>-9.9518459069020739</v>
      </c>
      <c r="L55" s="142"/>
      <c r="M55" s="142"/>
      <c r="N55" s="142"/>
      <c r="O55" s="142"/>
      <c r="P55" s="142"/>
      <c r="Q55" s="142"/>
      <c r="R55" s="142"/>
    </row>
    <row r="56" spans="1:18" ht="24.75" customHeight="1" x14ac:dyDescent="0.25">
      <c r="A56" s="216"/>
      <c r="B56" s="171"/>
      <c r="C56" s="174"/>
      <c r="D56" s="5" t="s">
        <v>10</v>
      </c>
      <c r="E56" s="6">
        <v>19</v>
      </c>
      <c r="F56" s="7"/>
      <c r="G56" s="7">
        <f t="shared" si="34"/>
        <v>36.666666666666664</v>
      </c>
      <c r="H56" s="148" t="s">
        <v>10</v>
      </c>
      <c r="I56" s="6">
        <v>7.4</v>
      </c>
      <c r="J56" s="7"/>
      <c r="K56" s="10">
        <f t="shared" si="35"/>
        <v>-18.780096308186195</v>
      </c>
      <c r="L56" s="142"/>
      <c r="M56" s="142"/>
      <c r="N56" s="142"/>
      <c r="O56" s="142"/>
      <c r="P56" s="142"/>
      <c r="Q56" s="142"/>
      <c r="R56" s="142"/>
    </row>
    <row r="57" spans="1:18" ht="24.75" customHeight="1" thickBot="1" x14ac:dyDescent="0.3">
      <c r="A57" s="216"/>
      <c r="B57" s="179"/>
      <c r="C57" s="175"/>
      <c r="D57" s="11" t="s">
        <v>11</v>
      </c>
      <c r="E57" s="62">
        <v>17</v>
      </c>
      <c r="F57" s="13"/>
      <c r="G57" s="13">
        <f t="shared" si="34"/>
        <v>43.333333333333336</v>
      </c>
      <c r="H57" s="143" t="s">
        <v>11</v>
      </c>
      <c r="I57" s="62">
        <v>7.32</v>
      </c>
      <c r="J57" s="13"/>
      <c r="K57" s="66">
        <f t="shared" si="35"/>
        <v>-17.495987158908505</v>
      </c>
      <c r="L57" s="142"/>
      <c r="M57" s="142"/>
      <c r="N57" s="142"/>
      <c r="O57" s="142"/>
      <c r="P57" s="142"/>
      <c r="Q57" s="142"/>
      <c r="R57" s="142"/>
    </row>
    <row r="58" spans="1:18" ht="24.75" customHeight="1" x14ac:dyDescent="0.25">
      <c r="A58" s="217">
        <v>24</v>
      </c>
      <c r="B58" s="185" t="s">
        <v>48</v>
      </c>
      <c r="C58" s="173" t="s">
        <v>49</v>
      </c>
      <c r="D58" s="55" t="s">
        <v>9</v>
      </c>
      <c r="E58" s="56">
        <v>19</v>
      </c>
      <c r="F58" s="57">
        <v>26</v>
      </c>
      <c r="G58" s="57">
        <f t="shared" ref="G58:G60" si="36">($F$58-E58)*100/$F$58</f>
        <v>26.923076923076923</v>
      </c>
      <c r="H58" s="152" t="s">
        <v>9</v>
      </c>
      <c r="I58" s="56">
        <v>6.51</v>
      </c>
      <c r="J58" s="57">
        <v>6.18</v>
      </c>
      <c r="K58" s="60">
        <f t="shared" ref="K58:K60" si="37">($J$58-I58)*100/$J$58</f>
        <v>-5.3398058252427196</v>
      </c>
      <c r="L58" s="142"/>
      <c r="M58" s="142"/>
      <c r="N58" s="142"/>
      <c r="O58" s="142"/>
      <c r="P58" s="142"/>
      <c r="Q58" s="142"/>
      <c r="R58" s="142"/>
    </row>
    <row r="59" spans="1:18" ht="24.75" customHeight="1" x14ac:dyDescent="0.25">
      <c r="A59" s="212"/>
      <c r="B59" s="171"/>
      <c r="C59" s="174"/>
      <c r="D59" s="5" t="s">
        <v>10</v>
      </c>
      <c r="E59" s="6">
        <v>12</v>
      </c>
      <c r="F59" s="7"/>
      <c r="G59" s="7">
        <f t="shared" si="36"/>
        <v>53.846153846153847</v>
      </c>
      <c r="H59" s="148" t="s">
        <v>10</v>
      </c>
      <c r="I59" s="6">
        <v>6.72</v>
      </c>
      <c r="J59" s="7"/>
      <c r="K59" s="10">
        <f t="shared" si="37"/>
        <v>-8.7378640776699026</v>
      </c>
      <c r="L59" s="142"/>
      <c r="M59" s="142"/>
      <c r="N59" s="142"/>
      <c r="O59" s="142"/>
      <c r="P59" s="142"/>
      <c r="Q59" s="142"/>
      <c r="R59" s="142"/>
    </row>
    <row r="60" spans="1:18" ht="24.75" customHeight="1" thickBot="1" x14ac:dyDescent="0.3">
      <c r="A60" s="213"/>
      <c r="B60" s="172"/>
      <c r="C60" s="175"/>
      <c r="D60" s="61" t="s">
        <v>11</v>
      </c>
      <c r="E60" s="62">
        <v>18</v>
      </c>
      <c r="F60" s="63"/>
      <c r="G60" s="63">
        <f t="shared" si="36"/>
        <v>30.76923076923077</v>
      </c>
      <c r="H60" s="153" t="s">
        <v>11</v>
      </c>
      <c r="I60" s="62">
        <v>7.07</v>
      </c>
      <c r="J60" s="63"/>
      <c r="K60" s="66">
        <f t="shared" si="37"/>
        <v>-14.401294498381887</v>
      </c>
      <c r="L60" s="142"/>
      <c r="M60" s="142"/>
      <c r="N60" s="142"/>
      <c r="O60" s="142"/>
      <c r="P60" s="142"/>
      <c r="Q60" s="142"/>
      <c r="R60" s="142"/>
    </row>
    <row r="61" spans="1:18" ht="24.75" customHeight="1" x14ac:dyDescent="0.25">
      <c r="A61" s="211">
        <v>25</v>
      </c>
      <c r="B61" s="182" t="s">
        <v>50</v>
      </c>
      <c r="C61" s="183" t="s">
        <v>51</v>
      </c>
      <c r="D61" s="101" t="s">
        <v>9</v>
      </c>
      <c r="E61" s="102">
        <v>20</v>
      </c>
      <c r="F61" s="103">
        <v>50</v>
      </c>
      <c r="G61" s="103">
        <f t="shared" ref="G61:G63" si="38">($F$61-E61)*100/$F$61</f>
        <v>60</v>
      </c>
      <c r="H61" s="134" t="s">
        <v>9</v>
      </c>
      <c r="I61" s="102">
        <v>7.52</v>
      </c>
      <c r="J61" s="103">
        <v>7.46</v>
      </c>
      <c r="K61" s="106">
        <f t="shared" ref="K61:K63" si="39">($J$61-I61)*100/$J$61</f>
        <v>-0.8042895442359197</v>
      </c>
      <c r="L61" s="142"/>
      <c r="M61" s="142"/>
      <c r="N61" s="142"/>
      <c r="O61" s="142"/>
      <c r="P61" s="142"/>
      <c r="Q61" s="142"/>
      <c r="R61" s="142"/>
    </row>
    <row r="62" spans="1:18" ht="24.75" customHeight="1" x14ac:dyDescent="0.25">
      <c r="A62" s="212"/>
      <c r="B62" s="171"/>
      <c r="C62" s="174"/>
      <c r="D62" s="108" t="s">
        <v>10</v>
      </c>
      <c r="E62" s="109">
        <v>20</v>
      </c>
      <c r="F62" s="110"/>
      <c r="G62" s="110">
        <f t="shared" si="38"/>
        <v>60</v>
      </c>
      <c r="H62" s="135" t="s">
        <v>10</v>
      </c>
      <c r="I62" s="109">
        <v>7.28</v>
      </c>
      <c r="J62" s="110"/>
      <c r="K62" s="113">
        <f t="shared" si="39"/>
        <v>2.4128686327077711</v>
      </c>
      <c r="L62" s="142"/>
      <c r="M62" s="142"/>
      <c r="N62" s="142"/>
      <c r="O62" s="142"/>
      <c r="P62" s="142"/>
      <c r="Q62" s="142"/>
      <c r="R62" s="142"/>
    </row>
    <row r="63" spans="1:18" ht="24.75" customHeight="1" thickBot="1" x14ac:dyDescent="0.3">
      <c r="A63" s="213"/>
      <c r="B63" s="172"/>
      <c r="C63" s="175"/>
      <c r="D63" s="115" t="s">
        <v>11</v>
      </c>
      <c r="E63" s="116">
        <v>32</v>
      </c>
      <c r="F63" s="117"/>
      <c r="G63" s="117">
        <f t="shared" si="38"/>
        <v>36</v>
      </c>
      <c r="H63" s="136" t="s">
        <v>11</v>
      </c>
      <c r="I63" s="116">
        <v>7.2</v>
      </c>
      <c r="J63" s="117"/>
      <c r="K63" s="120">
        <f t="shared" si="39"/>
        <v>3.485254691689005</v>
      </c>
      <c r="L63" s="142"/>
      <c r="M63" s="142"/>
      <c r="N63" s="142"/>
      <c r="O63" s="142"/>
      <c r="P63" s="142"/>
      <c r="Q63" s="142"/>
      <c r="R63" s="142"/>
    </row>
    <row r="64" spans="1:18" ht="24.75" customHeight="1" x14ac:dyDescent="0.25">
      <c r="A64" s="211">
        <v>26</v>
      </c>
      <c r="B64" s="182" t="s">
        <v>52</v>
      </c>
      <c r="C64" s="183" t="s">
        <v>53</v>
      </c>
      <c r="D64" s="101" t="s">
        <v>9</v>
      </c>
      <c r="E64" s="102">
        <v>16</v>
      </c>
      <c r="F64" s="103">
        <v>54</v>
      </c>
      <c r="G64" s="103">
        <f t="shared" ref="G64:G66" si="40">($F$64-E64)*100/$F$64</f>
        <v>70.370370370370367</v>
      </c>
      <c r="H64" s="134" t="s">
        <v>9</v>
      </c>
      <c r="I64" s="102">
        <v>7.98</v>
      </c>
      <c r="J64" s="103">
        <v>8.0299999999999994</v>
      </c>
      <c r="K64" s="106">
        <f t="shared" ref="K64:K66" si="41">($J$64-I64)*100/$J$64</f>
        <v>0.62266500622663679</v>
      </c>
      <c r="L64" s="142"/>
      <c r="M64" s="142"/>
      <c r="N64" s="142"/>
      <c r="O64" s="142"/>
      <c r="P64" s="142"/>
      <c r="Q64" s="142"/>
      <c r="R64" s="142"/>
    </row>
    <row r="65" spans="1:18" ht="24.75" customHeight="1" x14ac:dyDescent="0.25">
      <c r="A65" s="212"/>
      <c r="B65" s="171"/>
      <c r="C65" s="174"/>
      <c r="D65" s="108" t="s">
        <v>10</v>
      </c>
      <c r="E65" s="109">
        <v>18</v>
      </c>
      <c r="F65" s="110"/>
      <c r="G65" s="110">
        <f t="shared" si="40"/>
        <v>66.666666666666671</v>
      </c>
      <c r="H65" s="135" t="s">
        <v>10</v>
      </c>
      <c r="I65" s="109">
        <v>8.1300000000000008</v>
      </c>
      <c r="J65" s="110"/>
      <c r="K65" s="113">
        <f t="shared" si="41"/>
        <v>-1.245330012453318</v>
      </c>
      <c r="L65" s="142"/>
      <c r="M65" s="142"/>
      <c r="N65" s="142"/>
      <c r="O65" s="142"/>
      <c r="P65" s="142"/>
      <c r="Q65" s="142"/>
      <c r="R65" s="142"/>
    </row>
    <row r="66" spans="1:18" ht="24.75" customHeight="1" thickBot="1" x14ac:dyDescent="0.3">
      <c r="A66" s="213"/>
      <c r="B66" s="172"/>
      <c r="C66" s="175"/>
      <c r="D66" s="115" t="s">
        <v>11</v>
      </c>
      <c r="E66" s="116">
        <v>18</v>
      </c>
      <c r="F66" s="117"/>
      <c r="G66" s="117">
        <f t="shared" si="40"/>
        <v>66.666666666666671</v>
      </c>
      <c r="H66" s="136" t="s">
        <v>11</v>
      </c>
      <c r="I66" s="116">
        <v>7.9</v>
      </c>
      <c r="J66" s="117"/>
      <c r="K66" s="120">
        <f t="shared" si="41"/>
        <v>1.618929016189278</v>
      </c>
      <c r="L66" s="142"/>
      <c r="M66" s="142"/>
      <c r="N66" s="142"/>
      <c r="O66" s="142"/>
      <c r="P66" s="142"/>
      <c r="Q66" s="142"/>
      <c r="R66" s="142"/>
    </row>
    <row r="67" spans="1:18" ht="24.75" customHeight="1" x14ac:dyDescent="0.25">
      <c r="A67" s="211">
        <v>27</v>
      </c>
      <c r="B67" s="182" t="s">
        <v>54</v>
      </c>
      <c r="C67" s="183" t="s">
        <v>55</v>
      </c>
      <c r="D67" s="101" t="s">
        <v>9</v>
      </c>
      <c r="E67" s="102">
        <v>20</v>
      </c>
      <c r="F67" s="103">
        <v>50</v>
      </c>
      <c r="G67" s="103">
        <f t="shared" ref="G67:G69" si="42">($F$67-E67)*100/$F$67</f>
        <v>60</v>
      </c>
      <c r="H67" s="134" t="s">
        <v>9</v>
      </c>
      <c r="I67" s="102">
        <v>7.44</v>
      </c>
      <c r="J67" s="103">
        <v>7.66</v>
      </c>
      <c r="K67" s="106">
        <f t="shared" ref="K67:K69" si="43">($J$67-I67)*100/$J$67</f>
        <v>2.8720626631853752</v>
      </c>
      <c r="L67" s="142"/>
      <c r="M67" s="142"/>
      <c r="N67" s="142"/>
      <c r="O67" s="142"/>
      <c r="P67" s="142"/>
      <c r="Q67" s="142"/>
      <c r="R67" s="142"/>
    </row>
    <row r="68" spans="1:18" ht="24.75" customHeight="1" x14ac:dyDescent="0.25">
      <c r="A68" s="212"/>
      <c r="B68" s="171"/>
      <c r="C68" s="174"/>
      <c r="D68" s="108" t="s">
        <v>10</v>
      </c>
      <c r="E68" s="109">
        <v>18</v>
      </c>
      <c r="F68" s="110"/>
      <c r="G68" s="110">
        <f t="shared" si="42"/>
        <v>64</v>
      </c>
      <c r="H68" s="135" t="s">
        <v>10</v>
      </c>
      <c r="I68" s="109">
        <v>7.43</v>
      </c>
      <c r="J68" s="110"/>
      <c r="K68" s="113">
        <f t="shared" si="43"/>
        <v>3.0026109660574467</v>
      </c>
      <c r="L68" s="142"/>
      <c r="M68" s="142"/>
      <c r="N68" s="142"/>
      <c r="O68" s="142"/>
      <c r="P68" s="142"/>
      <c r="Q68" s="142"/>
      <c r="R68" s="142"/>
    </row>
    <row r="69" spans="1:18" ht="24.75" customHeight="1" thickBot="1" x14ac:dyDescent="0.3">
      <c r="A69" s="213"/>
      <c r="B69" s="172"/>
      <c r="C69" s="175"/>
      <c r="D69" s="115" t="s">
        <v>11</v>
      </c>
      <c r="E69" s="116">
        <v>26</v>
      </c>
      <c r="F69" s="117"/>
      <c r="G69" s="117">
        <f t="shared" si="42"/>
        <v>48</v>
      </c>
      <c r="H69" s="136" t="s">
        <v>11</v>
      </c>
      <c r="I69" s="116">
        <v>7.95</v>
      </c>
      <c r="J69" s="117"/>
      <c r="K69" s="120">
        <f t="shared" si="43"/>
        <v>-3.7859007832898177</v>
      </c>
      <c r="L69" s="142"/>
      <c r="M69" s="142"/>
      <c r="N69" s="142"/>
      <c r="O69" s="142"/>
      <c r="P69" s="142"/>
      <c r="Q69" s="142"/>
      <c r="R69" s="142"/>
    </row>
    <row r="70" spans="1:18" ht="24.75" customHeight="1" x14ac:dyDescent="0.25">
      <c r="A70" s="211">
        <v>28</v>
      </c>
      <c r="B70" s="182" t="s">
        <v>56</v>
      </c>
      <c r="C70" s="183" t="s">
        <v>57</v>
      </c>
      <c r="D70" s="101" t="s">
        <v>9</v>
      </c>
      <c r="E70" s="102">
        <v>20</v>
      </c>
      <c r="F70" s="103">
        <v>58</v>
      </c>
      <c r="G70" s="103">
        <f t="shared" ref="G70:G72" si="44">($F$70-E70)*100/$F$70</f>
        <v>65.517241379310349</v>
      </c>
      <c r="H70" s="134" t="s">
        <v>9</v>
      </c>
      <c r="I70" s="102">
        <v>6.81</v>
      </c>
      <c r="J70" s="103">
        <v>7.04</v>
      </c>
      <c r="K70" s="106">
        <f t="shared" ref="K70:K72" si="45">($J$70-I70)*100/$J$70</f>
        <v>3.2670454545454608</v>
      </c>
      <c r="L70" s="142"/>
      <c r="M70" s="142"/>
      <c r="N70" s="142"/>
      <c r="O70" s="142"/>
      <c r="P70" s="142"/>
      <c r="Q70" s="142"/>
      <c r="R70" s="142"/>
    </row>
    <row r="71" spans="1:18" ht="24.75" customHeight="1" x14ac:dyDescent="0.25">
      <c r="A71" s="212"/>
      <c r="B71" s="171"/>
      <c r="C71" s="174"/>
      <c r="D71" s="108" t="s">
        <v>10</v>
      </c>
      <c r="E71" s="109">
        <v>18</v>
      </c>
      <c r="F71" s="110"/>
      <c r="G71" s="110">
        <f t="shared" si="44"/>
        <v>68.965517241379317</v>
      </c>
      <c r="H71" s="135" t="s">
        <v>10</v>
      </c>
      <c r="I71" s="109">
        <v>6.83</v>
      </c>
      <c r="J71" s="110"/>
      <c r="K71" s="113">
        <f t="shared" si="45"/>
        <v>2.982954545454545</v>
      </c>
      <c r="L71" s="142"/>
      <c r="M71" s="142"/>
      <c r="N71" s="142"/>
      <c r="O71" s="142"/>
      <c r="P71" s="142"/>
      <c r="Q71" s="142"/>
      <c r="R71" s="142"/>
    </row>
    <row r="72" spans="1:18" ht="24.75" customHeight="1" thickBot="1" x14ac:dyDescent="0.3">
      <c r="A72" s="213"/>
      <c r="B72" s="172"/>
      <c r="C72" s="175"/>
      <c r="D72" s="115" t="s">
        <v>11</v>
      </c>
      <c r="E72" s="116">
        <v>26</v>
      </c>
      <c r="F72" s="117"/>
      <c r="G72" s="117">
        <f t="shared" si="44"/>
        <v>55.172413793103445</v>
      </c>
      <c r="H72" s="136" t="s">
        <v>11</v>
      </c>
      <c r="I72" s="116">
        <v>7.18</v>
      </c>
      <c r="J72" s="117"/>
      <c r="K72" s="120">
        <f t="shared" si="45"/>
        <v>-1.9886363636363591</v>
      </c>
      <c r="L72" s="142"/>
      <c r="M72" s="142"/>
      <c r="N72" s="142"/>
      <c r="O72" s="142"/>
      <c r="P72" s="142"/>
      <c r="Q72" s="142"/>
      <c r="R72" s="142"/>
    </row>
    <row r="73" spans="1:18" ht="24.75" customHeight="1" x14ac:dyDescent="0.25">
      <c r="A73" s="211">
        <v>29</v>
      </c>
      <c r="B73" s="182" t="s">
        <v>58</v>
      </c>
      <c r="C73" s="183" t="s">
        <v>59</v>
      </c>
      <c r="D73" s="101" t="s">
        <v>9</v>
      </c>
      <c r="E73" s="102">
        <v>20</v>
      </c>
      <c r="F73" s="103">
        <v>60</v>
      </c>
      <c r="G73" s="103">
        <f t="shared" ref="G73:G75" si="46">($F$73-E73)*100/$F$73</f>
        <v>66.666666666666671</v>
      </c>
      <c r="H73" s="134" t="s">
        <v>9</v>
      </c>
      <c r="I73" s="102">
        <v>7.11</v>
      </c>
      <c r="J73" s="103">
        <v>7.77</v>
      </c>
      <c r="K73" s="106">
        <f t="shared" ref="K73:K75" si="47">($J$73-I73)*100/$J$73</f>
        <v>8.4942084942084861</v>
      </c>
      <c r="L73" s="142"/>
      <c r="M73" s="142"/>
      <c r="N73" s="142"/>
      <c r="O73" s="142"/>
      <c r="P73" s="142"/>
      <c r="Q73" s="142"/>
      <c r="R73" s="142"/>
    </row>
    <row r="74" spans="1:18" ht="24.75" customHeight="1" x14ac:dyDescent="0.25">
      <c r="A74" s="212"/>
      <c r="B74" s="171"/>
      <c r="C74" s="174"/>
      <c r="D74" s="108" t="s">
        <v>10</v>
      </c>
      <c r="E74" s="109">
        <v>18</v>
      </c>
      <c r="F74" s="110"/>
      <c r="G74" s="110">
        <f t="shared" si="46"/>
        <v>70</v>
      </c>
      <c r="H74" s="135" t="s">
        <v>10</v>
      </c>
      <c r="I74" s="109">
        <v>6.81</v>
      </c>
      <c r="J74" s="110"/>
      <c r="K74" s="113">
        <f t="shared" si="47"/>
        <v>12.355212355212355</v>
      </c>
      <c r="L74" s="142"/>
      <c r="M74" s="142"/>
      <c r="N74" s="142"/>
      <c r="O74" s="142"/>
      <c r="P74" s="142"/>
      <c r="Q74" s="142"/>
      <c r="R74" s="142"/>
    </row>
    <row r="75" spans="1:18" ht="24.75" customHeight="1" thickBot="1" x14ac:dyDescent="0.3">
      <c r="A75" s="213"/>
      <c r="B75" s="172"/>
      <c r="C75" s="175"/>
      <c r="D75" s="115" t="s">
        <v>11</v>
      </c>
      <c r="E75" s="116">
        <v>30</v>
      </c>
      <c r="F75" s="117"/>
      <c r="G75" s="117">
        <f t="shared" si="46"/>
        <v>50</v>
      </c>
      <c r="H75" s="136" t="s">
        <v>11</v>
      </c>
      <c r="I75" s="116">
        <v>6.82</v>
      </c>
      <c r="J75" s="117"/>
      <c r="K75" s="120">
        <f t="shared" si="47"/>
        <v>12.226512226512218</v>
      </c>
      <c r="L75" s="142"/>
      <c r="M75" s="142"/>
      <c r="N75" s="142"/>
      <c r="O75" s="142"/>
      <c r="P75" s="142"/>
      <c r="Q75" s="142"/>
      <c r="R75" s="142"/>
    </row>
    <row r="76" spans="1:18" ht="24.75" customHeight="1" x14ac:dyDescent="0.25">
      <c r="A76" s="211">
        <v>30</v>
      </c>
      <c r="B76" s="182" t="s">
        <v>60</v>
      </c>
      <c r="C76" s="183" t="s">
        <v>61</v>
      </c>
      <c r="D76" s="101" t="s">
        <v>9</v>
      </c>
      <c r="E76" s="102">
        <v>18</v>
      </c>
      <c r="F76" s="103">
        <v>50</v>
      </c>
      <c r="G76" s="103">
        <f t="shared" ref="G76:G78" si="48">($F$76-E76)*100/$F$76</f>
        <v>64</v>
      </c>
      <c r="H76" s="134" t="s">
        <v>9</v>
      </c>
      <c r="I76" s="102">
        <v>7.19</v>
      </c>
      <c r="J76" s="103">
        <v>7.68</v>
      </c>
      <c r="K76" s="106">
        <f t="shared" ref="K76:K78" si="49">($J$76-I76)*100/$J$76</f>
        <v>6.3802083333333242</v>
      </c>
      <c r="L76" s="142"/>
      <c r="M76" s="142"/>
      <c r="N76" s="142"/>
      <c r="O76" s="142"/>
      <c r="P76" s="142"/>
      <c r="Q76" s="142"/>
      <c r="R76" s="142"/>
    </row>
    <row r="77" spans="1:18" ht="24.75" customHeight="1" x14ac:dyDescent="0.25">
      <c r="A77" s="212"/>
      <c r="B77" s="171"/>
      <c r="C77" s="174"/>
      <c r="D77" s="108" t="s">
        <v>10</v>
      </c>
      <c r="E77" s="109">
        <v>18</v>
      </c>
      <c r="F77" s="110"/>
      <c r="G77" s="110">
        <f t="shared" si="48"/>
        <v>64</v>
      </c>
      <c r="H77" s="135" t="s">
        <v>10</v>
      </c>
      <c r="I77" s="109">
        <v>6.18</v>
      </c>
      <c r="J77" s="110"/>
      <c r="K77" s="113">
        <f t="shared" si="49"/>
        <v>19.53125</v>
      </c>
      <c r="L77" s="142"/>
      <c r="M77" s="142"/>
      <c r="N77" s="142"/>
      <c r="O77" s="142"/>
      <c r="P77" s="142"/>
      <c r="Q77" s="142"/>
      <c r="R77" s="142"/>
    </row>
    <row r="78" spans="1:18" ht="24.75" customHeight="1" thickBot="1" x14ac:dyDescent="0.3">
      <c r="A78" s="213"/>
      <c r="B78" s="172"/>
      <c r="C78" s="175"/>
      <c r="D78" s="115" t="s">
        <v>11</v>
      </c>
      <c r="E78" s="116">
        <v>24</v>
      </c>
      <c r="F78" s="117"/>
      <c r="G78" s="117">
        <f t="shared" si="48"/>
        <v>52</v>
      </c>
      <c r="H78" s="136" t="s">
        <v>11</v>
      </c>
      <c r="I78" s="116">
        <v>7.52</v>
      </c>
      <c r="J78" s="117"/>
      <c r="K78" s="120">
        <f t="shared" si="49"/>
        <v>2.0833333333333353</v>
      </c>
      <c r="L78" s="142"/>
      <c r="M78" s="142"/>
      <c r="N78" s="142"/>
      <c r="O78" s="142"/>
      <c r="P78" s="142"/>
      <c r="Q78" s="142"/>
      <c r="R78" s="142"/>
    </row>
    <row r="79" spans="1:18" ht="24.75" customHeight="1" x14ac:dyDescent="0.25">
      <c r="A79" s="215">
        <v>31</v>
      </c>
      <c r="B79" s="184" t="s">
        <v>62</v>
      </c>
      <c r="C79" s="180" t="s">
        <v>63</v>
      </c>
      <c r="D79" s="67" t="s">
        <v>9</v>
      </c>
      <c r="E79" s="73">
        <v>36</v>
      </c>
      <c r="F79" s="69">
        <v>74</v>
      </c>
      <c r="G79" s="69">
        <f t="shared" ref="G79:G81" si="50">($F$79-E79)*100/$F$79</f>
        <v>51.351351351351354</v>
      </c>
      <c r="H79" s="154" t="s">
        <v>9</v>
      </c>
      <c r="I79" s="73">
        <v>7.23</v>
      </c>
      <c r="J79" s="69">
        <v>7.67</v>
      </c>
      <c r="K79" s="72">
        <f t="shared" ref="K79:K81" si="51">($J$79-I79)*100/$J$79</f>
        <v>5.736636245110815</v>
      </c>
      <c r="L79" s="142"/>
      <c r="M79" s="142"/>
      <c r="N79" s="142"/>
      <c r="O79" s="142"/>
      <c r="P79" s="142"/>
      <c r="Q79" s="142"/>
      <c r="R79" s="142"/>
    </row>
    <row r="80" spans="1:18" ht="24.75" customHeight="1" x14ac:dyDescent="0.25">
      <c r="A80" s="216"/>
      <c r="B80" s="171"/>
      <c r="C80" s="174"/>
      <c r="D80" s="23" t="s">
        <v>10</v>
      </c>
      <c r="E80" s="24">
        <v>18</v>
      </c>
      <c r="F80" s="25"/>
      <c r="G80" s="25">
        <f t="shared" si="50"/>
        <v>75.675675675675677</v>
      </c>
      <c r="H80" s="138" t="s">
        <v>10</v>
      </c>
      <c r="I80" s="24">
        <v>6.89</v>
      </c>
      <c r="J80" s="25"/>
      <c r="K80" s="28">
        <f t="shared" si="51"/>
        <v>10.169491525423732</v>
      </c>
      <c r="L80" s="142"/>
      <c r="M80" s="142"/>
      <c r="N80" s="142"/>
      <c r="O80" s="142"/>
      <c r="P80" s="142"/>
      <c r="Q80" s="142"/>
      <c r="R80" s="142"/>
    </row>
    <row r="81" spans="1:18" ht="24.75" customHeight="1" thickBot="1" x14ac:dyDescent="0.3">
      <c r="A81" s="216"/>
      <c r="B81" s="179"/>
      <c r="C81" s="181"/>
      <c r="D81" s="74" t="s">
        <v>11</v>
      </c>
      <c r="E81" s="79">
        <v>32</v>
      </c>
      <c r="F81" s="75"/>
      <c r="G81" s="75">
        <f t="shared" si="50"/>
        <v>56.756756756756758</v>
      </c>
      <c r="H81" s="155" t="s">
        <v>11</v>
      </c>
      <c r="I81" s="79">
        <v>7.18</v>
      </c>
      <c r="J81" s="75"/>
      <c r="K81" s="78">
        <f t="shared" si="51"/>
        <v>6.388526727509781</v>
      </c>
      <c r="L81" s="142"/>
      <c r="M81" s="142"/>
      <c r="N81" s="142"/>
      <c r="O81" s="142"/>
      <c r="P81" s="142"/>
      <c r="Q81" s="142"/>
      <c r="R81" s="142"/>
    </row>
    <row r="82" spans="1:18" ht="24.75" customHeight="1" x14ac:dyDescent="0.25">
      <c r="A82" s="211">
        <v>32</v>
      </c>
      <c r="B82" s="182" t="s">
        <v>64</v>
      </c>
      <c r="C82" s="183" t="s">
        <v>65</v>
      </c>
      <c r="D82" s="101" t="s">
        <v>9</v>
      </c>
      <c r="E82" s="102">
        <v>36</v>
      </c>
      <c r="F82" s="103">
        <v>70</v>
      </c>
      <c r="G82" s="103">
        <f t="shared" ref="G82:G84" si="52">($F$82-E82)*100/$F$82</f>
        <v>48.571428571428569</v>
      </c>
      <c r="H82" s="134" t="s">
        <v>9</v>
      </c>
      <c r="I82" s="102">
        <v>7.45</v>
      </c>
      <c r="J82" s="103">
        <v>7.57</v>
      </c>
      <c r="K82" s="106">
        <f t="shared" ref="K82:K84" si="53">($J$82-I82)*100/$J$82</f>
        <v>1.5852047556142681</v>
      </c>
      <c r="L82" s="142"/>
      <c r="M82" s="142"/>
      <c r="N82" s="142"/>
      <c r="O82" s="142"/>
      <c r="P82" s="142"/>
      <c r="Q82" s="142"/>
      <c r="R82" s="142"/>
    </row>
    <row r="83" spans="1:18" ht="24.75" customHeight="1" x14ac:dyDescent="0.25">
      <c r="A83" s="212"/>
      <c r="B83" s="171"/>
      <c r="C83" s="174"/>
      <c r="D83" s="108" t="s">
        <v>10</v>
      </c>
      <c r="E83" s="109">
        <v>18</v>
      </c>
      <c r="F83" s="110"/>
      <c r="G83" s="110">
        <f t="shared" si="52"/>
        <v>74.285714285714292</v>
      </c>
      <c r="H83" s="135" t="s">
        <v>10</v>
      </c>
      <c r="I83" s="109">
        <v>7.24</v>
      </c>
      <c r="J83" s="110"/>
      <c r="K83" s="113">
        <f t="shared" si="53"/>
        <v>4.3593130779392348</v>
      </c>
      <c r="L83" s="142"/>
      <c r="M83" s="142"/>
      <c r="N83" s="142"/>
      <c r="O83" s="142"/>
      <c r="P83" s="142"/>
      <c r="Q83" s="142"/>
      <c r="R83" s="142"/>
    </row>
    <row r="84" spans="1:18" ht="24.75" customHeight="1" thickBot="1" x14ac:dyDescent="0.3">
      <c r="A84" s="213"/>
      <c r="B84" s="172"/>
      <c r="C84" s="175"/>
      <c r="D84" s="115" t="s">
        <v>11</v>
      </c>
      <c r="E84" s="116">
        <v>31</v>
      </c>
      <c r="F84" s="117"/>
      <c r="G84" s="117">
        <f t="shared" si="52"/>
        <v>55.714285714285715</v>
      </c>
      <c r="H84" s="136" t="s">
        <v>11</v>
      </c>
      <c r="I84" s="116">
        <v>7.03</v>
      </c>
      <c r="J84" s="117"/>
      <c r="K84" s="120">
        <f t="shared" si="53"/>
        <v>7.1334214002642007</v>
      </c>
      <c r="L84" s="142"/>
      <c r="M84" s="142"/>
      <c r="N84" s="142"/>
      <c r="O84" s="142"/>
      <c r="P84" s="142"/>
      <c r="Q84" s="142"/>
      <c r="R84" s="142"/>
    </row>
    <row r="85" spans="1:18" ht="24.75" customHeight="1" x14ac:dyDescent="0.25">
      <c r="A85" s="211">
        <v>33</v>
      </c>
      <c r="B85" s="182" t="s">
        <v>66</v>
      </c>
      <c r="C85" s="183" t="s">
        <v>67</v>
      </c>
      <c r="D85" s="101" t="s">
        <v>9</v>
      </c>
      <c r="E85" s="102">
        <v>35</v>
      </c>
      <c r="F85" s="103">
        <v>64</v>
      </c>
      <c r="G85" s="103">
        <f t="shared" ref="G85:G87" si="54">($F$85-E85)*100/$F$85</f>
        <v>45.3125</v>
      </c>
      <c r="H85" s="134" t="s">
        <v>9</v>
      </c>
      <c r="I85" s="102">
        <v>7.38</v>
      </c>
      <c r="J85" s="103">
        <v>7.74</v>
      </c>
      <c r="K85" s="106">
        <f t="shared" ref="K85:K87" si="55">($J$85-I85)*100/$J$85</f>
        <v>4.6511627906976782</v>
      </c>
      <c r="L85" s="142"/>
      <c r="M85" s="142"/>
      <c r="N85" s="142"/>
      <c r="O85" s="142"/>
      <c r="P85" s="142"/>
      <c r="Q85" s="142"/>
      <c r="R85" s="142"/>
    </row>
    <row r="86" spans="1:18" ht="24.75" customHeight="1" x14ac:dyDescent="0.25">
      <c r="A86" s="212"/>
      <c r="B86" s="171"/>
      <c r="C86" s="174"/>
      <c r="D86" s="108" t="s">
        <v>10</v>
      </c>
      <c r="E86" s="109">
        <v>24</v>
      </c>
      <c r="F86" s="110"/>
      <c r="G86" s="110">
        <f t="shared" si="54"/>
        <v>62.5</v>
      </c>
      <c r="H86" s="135" t="s">
        <v>10</v>
      </c>
      <c r="I86" s="109">
        <v>7.51</v>
      </c>
      <c r="J86" s="110"/>
      <c r="K86" s="113">
        <f t="shared" si="55"/>
        <v>2.9715762273901865</v>
      </c>
      <c r="L86" s="142"/>
      <c r="M86" s="142"/>
      <c r="N86" s="142"/>
      <c r="O86" s="142"/>
      <c r="P86" s="142"/>
      <c r="Q86" s="142"/>
      <c r="R86" s="142"/>
    </row>
    <row r="87" spans="1:18" ht="24.75" customHeight="1" thickBot="1" x14ac:dyDescent="0.3">
      <c r="A87" s="213"/>
      <c r="B87" s="172"/>
      <c r="C87" s="175"/>
      <c r="D87" s="115" t="s">
        <v>11</v>
      </c>
      <c r="E87" s="116">
        <v>37</v>
      </c>
      <c r="F87" s="117"/>
      <c r="G87" s="117">
        <f t="shared" si="54"/>
        <v>42.1875</v>
      </c>
      <c r="H87" s="136" t="s">
        <v>11</v>
      </c>
      <c r="I87" s="116">
        <v>7.42</v>
      </c>
      <c r="J87" s="117"/>
      <c r="K87" s="120">
        <f t="shared" si="55"/>
        <v>4.1343669250646027</v>
      </c>
      <c r="L87" s="142"/>
      <c r="M87" s="142"/>
      <c r="N87" s="142"/>
      <c r="O87" s="142"/>
      <c r="P87" s="142"/>
      <c r="Q87" s="142"/>
      <c r="R87" s="142"/>
    </row>
    <row r="88" spans="1:18" ht="24.75" customHeight="1" x14ac:dyDescent="0.25">
      <c r="A88" s="215">
        <v>34</v>
      </c>
      <c r="B88" s="178" t="s">
        <v>68</v>
      </c>
      <c r="C88" s="180" t="s">
        <v>69</v>
      </c>
      <c r="D88" s="67" t="s">
        <v>9</v>
      </c>
      <c r="E88" s="73">
        <v>37</v>
      </c>
      <c r="F88" s="69">
        <v>64</v>
      </c>
      <c r="G88" s="69">
        <f t="shared" ref="G88:G90" si="56">($F$88-E88)*100/$F$88</f>
        <v>42.1875</v>
      </c>
      <c r="H88" s="154" t="s">
        <v>9</v>
      </c>
      <c r="I88" s="73">
        <v>6.65</v>
      </c>
      <c r="J88" s="69">
        <v>6.95</v>
      </c>
      <c r="K88" s="72">
        <f t="shared" ref="K88:K90" si="57">($J$88-I88)*100/$J$88</f>
        <v>4.3165467625899252</v>
      </c>
      <c r="L88" s="142"/>
      <c r="M88" s="142"/>
      <c r="N88" s="142"/>
      <c r="O88" s="142"/>
      <c r="P88" s="142"/>
      <c r="Q88" s="142"/>
      <c r="R88" s="142"/>
    </row>
    <row r="89" spans="1:18" ht="24.75" customHeight="1" x14ac:dyDescent="0.25">
      <c r="A89" s="216"/>
      <c r="B89" s="171"/>
      <c r="C89" s="174"/>
      <c r="D89" s="23" t="s">
        <v>10</v>
      </c>
      <c r="E89" s="24">
        <v>36</v>
      </c>
      <c r="F89" s="25"/>
      <c r="G89" s="25">
        <f t="shared" si="56"/>
        <v>43.75</v>
      </c>
      <c r="H89" s="138" t="s">
        <v>10</v>
      </c>
      <c r="I89" s="24">
        <v>7.41</v>
      </c>
      <c r="J89" s="25"/>
      <c r="K89" s="28">
        <f t="shared" si="57"/>
        <v>-6.6187050359712227</v>
      </c>
      <c r="L89" s="142"/>
      <c r="M89" s="142"/>
      <c r="N89" s="142"/>
      <c r="O89" s="142"/>
      <c r="P89" s="142"/>
      <c r="Q89" s="142"/>
      <c r="R89" s="142"/>
    </row>
    <row r="90" spans="1:18" ht="24.75" customHeight="1" thickBot="1" x14ac:dyDescent="0.3">
      <c r="A90" s="216"/>
      <c r="B90" s="179"/>
      <c r="C90" s="181"/>
      <c r="D90" s="74" t="s">
        <v>11</v>
      </c>
      <c r="E90" s="79">
        <v>36</v>
      </c>
      <c r="F90" s="75"/>
      <c r="G90" s="75">
        <f t="shared" si="56"/>
        <v>43.75</v>
      </c>
      <c r="H90" s="155" t="s">
        <v>11</v>
      </c>
      <c r="I90" s="79">
        <v>7.31</v>
      </c>
      <c r="J90" s="75"/>
      <c r="K90" s="78">
        <f t="shared" si="57"/>
        <v>-5.1798561151079054</v>
      </c>
      <c r="L90" s="142"/>
      <c r="M90" s="142"/>
      <c r="N90" s="142"/>
      <c r="O90" s="142"/>
      <c r="P90" s="142"/>
      <c r="Q90" s="142"/>
      <c r="R90" s="142"/>
    </row>
    <row r="91" spans="1:18" ht="24.75" customHeight="1" x14ac:dyDescent="0.25">
      <c r="A91" s="211">
        <v>36</v>
      </c>
      <c r="B91" s="170" t="s">
        <v>70</v>
      </c>
      <c r="C91" s="183" t="s">
        <v>76</v>
      </c>
      <c r="D91" s="160" t="s">
        <v>9</v>
      </c>
      <c r="E91" s="130">
        <v>28</v>
      </c>
      <c r="F91" s="131">
        <v>68</v>
      </c>
      <c r="G91" s="131">
        <f t="shared" ref="G91:G93" si="58">($F$91-E91)*100/$F$91</f>
        <v>58.823529411764703</v>
      </c>
      <c r="H91" s="134" t="s">
        <v>9</v>
      </c>
      <c r="I91" s="102">
        <v>6.94</v>
      </c>
      <c r="J91" s="103">
        <v>6.9</v>
      </c>
      <c r="K91" s="106">
        <f t="shared" ref="K91:K93" si="59">($J$91-I91)*100/$J$91</f>
        <v>-0.5797101449275367</v>
      </c>
      <c r="L91" s="142"/>
      <c r="M91" s="142"/>
      <c r="N91" s="142"/>
      <c r="O91" s="142"/>
      <c r="P91" s="142"/>
      <c r="Q91" s="142"/>
      <c r="R91" s="142"/>
    </row>
    <row r="92" spans="1:18" ht="24.75" customHeight="1" x14ac:dyDescent="0.25">
      <c r="A92" s="212"/>
      <c r="B92" s="171"/>
      <c r="C92" s="174"/>
      <c r="D92" s="108" t="s">
        <v>10</v>
      </c>
      <c r="E92" s="109">
        <v>12</v>
      </c>
      <c r="F92" s="110"/>
      <c r="G92" s="110">
        <f t="shared" si="58"/>
        <v>82.352941176470594</v>
      </c>
      <c r="H92" s="135" t="s">
        <v>10</v>
      </c>
      <c r="I92" s="109">
        <v>5.48</v>
      </c>
      <c r="J92" s="110"/>
      <c r="K92" s="113">
        <f t="shared" si="59"/>
        <v>20.579710144927535</v>
      </c>
      <c r="L92" s="142"/>
      <c r="M92" s="142"/>
      <c r="N92" s="142"/>
      <c r="O92" s="142"/>
      <c r="P92" s="142"/>
      <c r="Q92" s="142"/>
      <c r="R92" s="142"/>
    </row>
    <row r="93" spans="1:18" ht="24.75" customHeight="1" thickBot="1" x14ac:dyDescent="0.3">
      <c r="A93" s="213"/>
      <c r="B93" s="172"/>
      <c r="C93" s="175"/>
      <c r="D93" s="115" t="s">
        <v>11</v>
      </c>
      <c r="E93" s="116">
        <v>23</v>
      </c>
      <c r="F93" s="117"/>
      <c r="G93" s="117">
        <f t="shared" si="58"/>
        <v>66.17647058823529</v>
      </c>
      <c r="H93" s="136" t="s">
        <v>11</v>
      </c>
      <c r="I93" s="116">
        <v>6.76</v>
      </c>
      <c r="J93" s="117"/>
      <c r="K93" s="120">
        <f t="shared" si="59"/>
        <v>2.0289855072463849</v>
      </c>
      <c r="L93" s="142"/>
      <c r="M93" s="142"/>
      <c r="N93" s="142"/>
      <c r="O93" s="142"/>
      <c r="P93" s="142"/>
      <c r="Q93" s="142"/>
      <c r="R93" s="142"/>
    </row>
    <row r="94" spans="1:18" ht="24.75" customHeight="1" x14ac:dyDescent="0.25">
      <c r="A94" s="214">
        <v>37</v>
      </c>
      <c r="B94" s="176" t="s">
        <v>72</v>
      </c>
      <c r="C94" s="177" t="s">
        <v>73</v>
      </c>
      <c r="D94" s="17" t="s">
        <v>9</v>
      </c>
      <c r="E94" s="18">
        <v>34</v>
      </c>
      <c r="F94" s="19">
        <v>60</v>
      </c>
      <c r="G94" s="19">
        <f t="shared" ref="G94:G96" si="60">($F$94-E94)*100/$F$94</f>
        <v>43.333333333333336</v>
      </c>
      <c r="H94" s="137" t="s">
        <v>9</v>
      </c>
      <c r="I94" s="18">
        <v>7.2</v>
      </c>
      <c r="J94" s="19">
        <v>7.78</v>
      </c>
      <c r="K94" s="22">
        <f t="shared" ref="K94:K96" si="61">($J$94-I94)*100/$J$94</f>
        <v>7.4550128534704374</v>
      </c>
      <c r="L94" s="142"/>
      <c r="M94" s="142"/>
      <c r="N94" s="142"/>
      <c r="O94" s="142"/>
      <c r="P94" s="142"/>
      <c r="Q94" s="142"/>
      <c r="R94" s="142"/>
    </row>
    <row r="95" spans="1:18" ht="24.75" customHeight="1" x14ac:dyDescent="0.25">
      <c r="A95" s="212"/>
      <c r="B95" s="171"/>
      <c r="C95" s="174"/>
      <c r="D95" s="23" t="s">
        <v>10</v>
      </c>
      <c r="E95" s="24">
        <v>20</v>
      </c>
      <c r="F95" s="25"/>
      <c r="G95" s="25">
        <f t="shared" si="60"/>
        <v>66.666666666666671</v>
      </c>
      <c r="H95" s="138" t="s">
        <v>10</v>
      </c>
      <c r="I95" s="24">
        <v>6.8</v>
      </c>
      <c r="J95" s="25"/>
      <c r="K95" s="28">
        <f t="shared" si="61"/>
        <v>12.59640102827764</v>
      </c>
      <c r="L95" s="142"/>
      <c r="M95" s="142"/>
      <c r="N95" s="142"/>
      <c r="O95" s="142"/>
      <c r="P95" s="142"/>
      <c r="Q95" s="142"/>
      <c r="R95" s="142"/>
    </row>
    <row r="96" spans="1:18" ht="24.75" customHeight="1" thickBot="1" x14ac:dyDescent="0.3">
      <c r="A96" s="213"/>
      <c r="B96" s="172"/>
      <c r="C96" s="175"/>
      <c r="D96" s="29" t="s">
        <v>11</v>
      </c>
      <c r="E96" s="30">
        <v>36</v>
      </c>
      <c r="F96" s="31"/>
      <c r="G96" s="31">
        <f t="shared" si="60"/>
        <v>40</v>
      </c>
      <c r="H96" s="139" t="s">
        <v>11</v>
      </c>
      <c r="I96" s="30">
        <v>7.09</v>
      </c>
      <c r="J96" s="31"/>
      <c r="K96" s="34">
        <f t="shared" si="61"/>
        <v>8.8688946015424222</v>
      </c>
      <c r="L96" s="142"/>
      <c r="M96" s="142"/>
      <c r="N96" s="142"/>
      <c r="O96" s="142"/>
      <c r="P96" s="142"/>
      <c r="Q96" s="142"/>
      <c r="R96" s="142"/>
    </row>
    <row r="97" spans="1:18" ht="15.75" customHeight="1" x14ac:dyDescent="0.25">
      <c r="A97" s="142"/>
      <c r="B97" s="141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</row>
    <row r="98" spans="1:18" ht="15.75" customHeight="1" x14ac:dyDescent="0.25">
      <c r="A98" s="142"/>
      <c r="B98" s="141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</row>
    <row r="99" spans="1:18" ht="15.75" customHeight="1" x14ac:dyDescent="0.25">
      <c r="A99" s="142"/>
      <c r="B99" s="141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</row>
    <row r="100" spans="1:18" ht="15.75" customHeight="1" x14ac:dyDescent="0.25">
      <c r="A100" s="142"/>
      <c r="B100" s="141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</row>
    <row r="101" spans="1:18" ht="15.75" customHeight="1" x14ac:dyDescent="0.25">
      <c r="A101" s="142"/>
      <c r="B101" s="141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</row>
    <row r="102" spans="1:18" ht="15.75" customHeight="1" x14ac:dyDescent="0.25">
      <c r="A102" s="142"/>
      <c r="B102" s="141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</row>
    <row r="103" spans="1:18" ht="15.75" customHeight="1" x14ac:dyDescent="0.25">
      <c r="A103" s="142"/>
      <c r="B103" s="141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</row>
    <row r="104" spans="1:18" ht="15.75" customHeight="1" x14ac:dyDescent="0.25">
      <c r="A104" s="142"/>
      <c r="B104" s="141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</row>
    <row r="105" spans="1:18" ht="15.75" customHeight="1" x14ac:dyDescent="0.25">
      <c r="A105" s="142"/>
      <c r="B105" s="141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</row>
    <row r="106" spans="1:18" ht="15.75" customHeight="1" x14ac:dyDescent="0.25">
      <c r="A106" s="142"/>
      <c r="B106" s="141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</row>
    <row r="107" spans="1:18" ht="15.75" customHeight="1" x14ac:dyDescent="0.25">
      <c r="A107" s="142"/>
      <c r="B107" s="141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</row>
    <row r="108" spans="1:18" ht="15.75" customHeight="1" x14ac:dyDescent="0.25">
      <c r="A108" s="142"/>
      <c r="B108" s="141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</row>
    <row r="109" spans="1:18" ht="15.75" customHeight="1" x14ac:dyDescent="0.25">
      <c r="A109" s="142"/>
      <c r="B109" s="141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</row>
    <row r="110" spans="1:18" ht="15.75" customHeight="1" x14ac:dyDescent="0.25">
      <c r="A110" s="142"/>
      <c r="B110" s="141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</row>
    <row r="111" spans="1:18" ht="15.75" customHeight="1" x14ac:dyDescent="0.25">
      <c r="A111" s="142"/>
      <c r="B111" s="141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</row>
    <row r="112" spans="1:18" ht="15.75" customHeight="1" x14ac:dyDescent="0.25">
      <c r="A112" s="142"/>
      <c r="B112" s="141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</row>
    <row r="113" spans="1:18" ht="15.75" customHeight="1" x14ac:dyDescent="0.25">
      <c r="A113" s="142"/>
      <c r="B113" s="141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</row>
    <row r="114" spans="1:18" ht="15.75" customHeight="1" x14ac:dyDescent="0.25">
      <c r="A114" s="142"/>
      <c r="B114" s="141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</row>
    <row r="115" spans="1:18" ht="15.75" customHeight="1" x14ac:dyDescent="0.25">
      <c r="A115" s="142"/>
      <c r="B115" s="141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</row>
    <row r="116" spans="1:18" ht="15.75" customHeight="1" x14ac:dyDescent="0.25">
      <c r="A116" s="142"/>
      <c r="B116" s="141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</row>
    <row r="117" spans="1:18" ht="15.75" customHeight="1" x14ac:dyDescent="0.25">
      <c r="A117" s="142"/>
      <c r="B117" s="141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</row>
    <row r="118" spans="1:18" ht="15.75" customHeight="1" x14ac:dyDescent="0.25">
      <c r="A118" s="142"/>
      <c r="B118" s="141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</row>
    <row r="119" spans="1:18" ht="15.75" customHeight="1" x14ac:dyDescent="0.25">
      <c r="A119" s="142"/>
      <c r="B119" s="141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</row>
    <row r="120" spans="1:18" ht="15.75" customHeight="1" x14ac:dyDescent="0.25">
      <c r="A120" s="142"/>
      <c r="B120" s="141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</row>
    <row r="121" spans="1:18" ht="15.75" customHeight="1" x14ac:dyDescent="0.25">
      <c r="A121" s="142"/>
      <c r="B121" s="141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</row>
    <row r="122" spans="1:18" ht="15.75" customHeight="1" x14ac:dyDescent="0.25">
      <c r="A122" s="142"/>
      <c r="B122" s="141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</row>
    <row r="123" spans="1:18" ht="15.75" customHeight="1" x14ac:dyDescent="0.25">
      <c r="A123" s="142"/>
      <c r="B123" s="141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</row>
    <row r="124" spans="1:18" ht="15.75" customHeight="1" x14ac:dyDescent="0.25">
      <c r="A124" s="142"/>
      <c r="B124" s="141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</row>
    <row r="125" spans="1:18" ht="15.75" customHeight="1" x14ac:dyDescent="0.25">
      <c r="A125" s="142"/>
      <c r="B125" s="141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</row>
    <row r="126" spans="1:18" ht="15.75" customHeight="1" x14ac:dyDescent="0.25">
      <c r="A126" s="142"/>
      <c r="B126" s="141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</row>
    <row r="127" spans="1:18" ht="15.75" customHeight="1" x14ac:dyDescent="0.25">
      <c r="A127" s="142"/>
      <c r="B127" s="141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</row>
    <row r="128" spans="1:18" ht="15.75" customHeight="1" x14ac:dyDescent="0.25">
      <c r="A128" s="142"/>
      <c r="B128" s="141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</row>
    <row r="129" spans="1:18" ht="15.75" customHeight="1" x14ac:dyDescent="0.25">
      <c r="A129" s="142"/>
      <c r="B129" s="141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</row>
    <row r="130" spans="1:18" ht="15.75" customHeight="1" x14ac:dyDescent="0.25">
      <c r="A130" s="142"/>
      <c r="B130" s="141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</row>
    <row r="131" spans="1:18" ht="15.75" customHeight="1" x14ac:dyDescent="0.25">
      <c r="A131" s="142"/>
      <c r="B131" s="141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</row>
    <row r="132" spans="1:18" ht="15.75" customHeight="1" x14ac:dyDescent="0.25">
      <c r="A132" s="142"/>
      <c r="B132" s="141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</row>
    <row r="133" spans="1:18" ht="15.75" customHeight="1" x14ac:dyDescent="0.25">
      <c r="A133" s="142"/>
      <c r="B133" s="141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</row>
    <row r="134" spans="1:18" ht="15.75" customHeight="1" x14ac:dyDescent="0.25">
      <c r="A134" s="142"/>
      <c r="B134" s="141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</row>
    <row r="135" spans="1:18" ht="15.75" customHeight="1" x14ac:dyDescent="0.25">
      <c r="A135" s="142"/>
      <c r="B135" s="141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</row>
    <row r="136" spans="1:18" ht="15.75" customHeight="1" x14ac:dyDescent="0.25">
      <c r="A136" s="142"/>
      <c r="B136" s="141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</row>
    <row r="137" spans="1:18" ht="15.75" customHeight="1" x14ac:dyDescent="0.25">
      <c r="A137" s="142"/>
      <c r="B137" s="141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</row>
    <row r="138" spans="1:18" ht="15.75" customHeight="1" x14ac:dyDescent="0.25">
      <c r="A138" s="142"/>
      <c r="B138" s="141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</row>
    <row r="139" spans="1:18" ht="15.75" customHeight="1" x14ac:dyDescent="0.25">
      <c r="A139" s="142"/>
      <c r="B139" s="141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</row>
    <row r="140" spans="1:18" ht="15.75" customHeight="1" x14ac:dyDescent="0.25">
      <c r="A140" s="142"/>
      <c r="B140" s="141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</row>
    <row r="141" spans="1:18" ht="15.75" customHeight="1" x14ac:dyDescent="0.25">
      <c r="A141" s="142"/>
      <c r="B141" s="141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</row>
    <row r="142" spans="1:18" ht="15.75" customHeight="1" x14ac:dyDescent="0.25">
      <c r="A142" s="142"/>
      <c r="B142" s="141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</row>
    <row r="143" spans="1:18" ht="15.75" customHeight="1" x14ac:dyDescent="0.25">
      <c r="A143" s="142"/>
      <c r="B143" s="141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</row>
    <row r="144" spans="1:18" ht="15.75" customHeight="1" x14ac:dyDescent="0.25">
      <c r="A144" s="142"/>
      <c r="B144" s="141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</row>
    <row r="145" spans="1:18" ht="15.75" customHeight="1" x14ac:dyDescent="0.25">
      <c r="A145" s="142"/>
      <c r="B145" s="141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</row>
    <row r="146" spans="1:18" ht="15.75" customHeight="1" x14ac:dyDescent="0.25">
      <c r="A146" s="142"/>
      <c r="B146" s="141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</row>
    <row r="147" spans="1:18" ht="15.75" customHeight="1" x14ac:dyDescent="0.25">
      <c r="A147" s="142"/>
      <c r="B147" s="141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</row>
    <row r="148" spans="1:18" ht="15.75" customHeight="1" x14ac:dyDescent="0.25">
      <c r="A148" s="142"/>
      <c r="B148" s="141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</row>
    <row r="149" spans="1:18" ht="15.75" customHeight="1" x14ac:dyDescent="0.25">
      <c r="A149" s="142"/>
      <c r="B149" s="141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</row>
    <row r="150" spans="1:18" ht="15.75" customHeight="1" x14ac:dyDescent="0.25">
      <c r="A150" s="142"/>
      <c r="B150" s="141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</row>
    <row r="151" spans="1:18" ht="15.75" customHeight="1" x14ac:dyDescent="0.25">
      <c r="A151" s="142"/>
      <c r="B151" s="141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</row>
    <row r="152" spans="1:18" ht="15.75" customHeight="1" x14ac:dyDescent="0.25">
      <c r="A152" s="142"/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</row>
    <row r="153" spans="1:18" ht="15.75" customHeight="1" x14ac:dyDescent="0.25">
      <c r="A153" s="142"/>
      <c r="B153" s="141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</row>
    <row r="154" spans="1:18" ht="15.75" customHeight="1" x14ac:dyDescent="0.25">
      <c r="A154" s="142"/>
      <c r="B154" s="141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</row>
    <row r="155" spans="1:18" ht="15.75" customHeight="1" x14ac:dyDescent="0.25">
      <c r="A155" s="142"/>
      <c r="B155" s="141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</row>
    <row r="156" spans="1:18" ht="15.75" customHeight="1" x14ac:dyDescent="0.25">
      <c r="A156" s="142"/>
      <c r="B156" s="141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</row>
    <row r="157" spans="1:18" ht="15.75" customHeight="1" x14ac:dyDescent="0.25">
      <c r="A157" s="142"/>
      <c r="B157" s="141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</row>
    <row r="158" spans="1:18" ht="15.75" customHeight="1" x14ac:dyDescent="0.25">
      <c r="A158" s="142"/>
      <c r="B158" s="141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</row>
    <row r="159" spans="1:18" ht="15.75" customHeight="1" x14ac:dyDescent="0.25">
      <c r="A159" s="142"/>
      <c r="B159" s="141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</row>
    <row r="160" spans="1:18" ht="15.75" customHeight="1" x14ac:dyDescent="0.25">
      <c r="A160" s="142"/>
      <c r="B160" s="141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</row>
    <row r="161" spans="1:18" ht="15.75" customHeight="1" x14ac:dyDescent="0.25">
      <c r="A161" s="142"/>
      <c r="B161" s="141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</row>
    <row r="162" spans="1:18" ht="15.75" customHeight="1" x14ac:dyDescent="0.25">
      <c r="A162" s="142"/>
      <c r="B162" s="141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</row>
    <row r="163" spans="1:18" ht="15.75" customHeight="1" x14ac:dyDescent="0.25">
      <c r="A163" s="142"/>
      <c r="B163" s="141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</row>
    <row r="164" spans="1:18" ht="15.75" customHeight="1" x14ac:dyDescent="0.25">
      <c r="A164" s="142"/>
      <c r="B164" s="141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</row>
    <row r="165" spans="1:18" ht="15.75" customHeight="1" x14ac:dyDescent="0.25">
      <c r="A165" s="142"/>
      <c r="B165" s="141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</row>
    <row r="166" spans="1:18" ht="15.75" customHeight="1" x14ac:dyDescent="0.25">
      <c r="A166" s="142"/>
      <c r="B166" s="141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</row>
    <row r="167" spans="1:18" ht="15.75" customHeight="1" x14ac:dyDescent="0.25">
      <c r="A167" s="142"/>
      <c r="B167" s="141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</row>
    <row r="168" spans="1:18" ht="15.75" customHeight="1" x14ac:dyDescent="0.25">
      <c r="A168" s="142"/>
      <c r="B168" s="141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</row>
    <row r="169" spans="1:18" ht="15.75" customHeight="1" x14ac:dyDescent="0.25">
      <c r="A169" s="142"/>
      <c r="B169" s="141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</row>
    <row r="170" spans="1:18" ht="15.75" customHeight="1" x14ac:dyDescent="0.25">
      <c r="A170" s="142"/>
      <c r="B170" s="141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</row>
    <row r="171" spans="1:18" ht="15.75" customHeight="1" x14ac:dyDescent="0.25">
      <c r="A171" s="142"/>
      <c r="B171" s="141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</row>
    <row r="172" spans="1:18" ht="15.75" customHeight="1" x14ac:dyDescent="0.25">
      <c r="A172" s="142"/>
      <c r="B172" s="141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</row>
    <row r="173" spans="1:18" ht="15.75" customHeight="1" x14ac:dyDescent="0.25">
      <c r="A173" s="142"/>
      <c r="B173" s="141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</row>
    <row r="174" spans="1:18" ht="15.75" customHeight="1" x14ac:dyDescent="0.25">
      <c r="A174" s="142"/>
      <c r="B174" s="141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</row>
    <row r="175" spans="1:18" ht="15.75" customHeight="1" x14ac:dyDescent="0.25">
      <c r="A175" s="142"/>
      <c r="B175" s="141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</row>
    <row r="176" spans="1:18" ht="15.75" customHeight="1" x14ac:dyDescent="0.25">
      <c r="A176" s="142"/>
      <c r="B176" s="141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</row>
    <row r="177" spans="1:18" ht="15.75" customHeight="1" x14ac:dyDescent="0.25">
      <c r="A177" s="142"/>
      <c r="B177" s="141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</row>
    <row r="178" spans="1:18" ht="15.75" customHeight="1" x14ac:dyDescent="0.25">
      <c r="A178" s="142"/>
      <c r="B178" s="141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</row>
    <row r="179" spans="1:18" ht="15.75" customHeight="1" x14ac:dyDescent="0.25">
      <c r="A179" s="142"/>
      <c r="B179" s="141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</row>
    <row r="180" spans="1:18" ht="15.75" customHeight="1" x14ac:dyDescent="0.25">
      <c r="A180" s="142"/>
      <c r="B180" s="141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</row>
    <row r="181" spans="1:18" ht="15.75" customHeight="1" x14ac:dyDescent="0.25">
      <c r="A181" s="142"/>
      <c r="B181" s="141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</row>
    <row r="182" spans="1:18" ht="15.75" customHeight="1" x14ac:dyDescent="0.25">
      <c r="A182" s="142"/>
      <c r="B182" s="141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</row>
    <row r="183" spans="1:18" ht="15.75" customHeight="1" x14ac:dyDescent="0.25">
      <c r="A183" s="142"/>
      <c r="B183" s="141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</row>
    <row r="184" spans="1:18" ht="15.75" customHeight="1" x14ac:dyDescent="0.25">
      <c r="A184" s="142"/>
      <c r="B184" s="141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</row>
    <row r="185" spans="1:18" ht="15.75" customHeight="1" x14ac:dyDescent="0.25">
      <c r="A185" s="142"/>
      <c r="B185" s="141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</row>
    <row r="186" spans="1:18" ht="15.75" customHeight="1" x14ac:dyDescent="0.25">
      <c r="A186" s="142"/>
      <c r="B186" s="141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</row>
    <row r="187" spans="1:18" ht="15.75" customHeight="1" x14ac:dyDescent="0.25">
      <c r="A187" s="142"/>
      <c r="B187" s="141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</row>
    <row r="188" spans="1:18" ht="15.75" customHeight="1" x14ac:dyDescent="0.25">
      <c r="A188" s="142"/>
      <c r="B188" s="141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</row>
    <row r="189" spans="1:18" ht="15.75" customHeight="1" x14ac:dyDescent="0.25">
      <c r="A189" s="142"/>
      <c r="B189" s="141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</row>
    <row r="190" spans="1:18" ht="15.75" customHeight="1" x14ac:dyDescent="0.25">
      <c r="A190" s="142"/>
      <c r="B190" s="141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</row>
    <row r="191" spans="1:18" ht="15.75" customHeight="1" x14ac:dyDescent="0.25">
      <c r="A191" s="142"/>
      <c r="B191" s="141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</row>
    <row r="192" spans="1:18" ht="15.75" customHeight="1" x14ac:dyDescent="0.25">
      <c r="A192" s="142"/>
      <c r="B192" s="141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</row>
    <row r="193" spans="1:18" ht="15.75" customHeight="1" x14ac:dyDescent="0.25">
      <c r="A193" s="142"/>
      <c r="B193" s="141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</row>
    <row r="194" spans="1:18" ht="15.75" customHeight="1" x14ac:dyDescent="0.25">
      <c r="A194" s="142"/>
      <c r="B194" s="141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</row>
    <row r="195" spans="1:18" ht="15.75" customHeight="1" x14ac:dyDescent="0.25">
      <c r="A195" s="142"/>
      <c r="B195" s="141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</row>
    <row r="196" spans="1:18" ht="15.75" customHeight="1" x14ac:dyDescent="0.25">
      <c r="A196" s="142"/>
      <c r="B196" s="141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</row>
    <row r="197" spans="1:18" ht="15.75" customHeight="1" x14ac:dyDescent="0.25">
      <c r="A197" s="142"/>
      <c r="B197" s="141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</row>
    <row r="198" spans="1:18" ht="15.75" customHeight="1" x14ac:dyDescent="0.25">
      <c r="A198" s="142"/>
      <c r="B198" s="141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</row>
    <row r="199" spans="1:18" ht="15.75" customHeight="1" x14ac:dyDescent="0.25">
      <c r="A199" s="142"/>
      <c r="B199" s="141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</row>
    <row r="200" spans="1:18" ht="15.75" customHeight="1" x14ac:dyDescent="0.25">
      <c r="A200" s="142"/>
      <c r="B200" s="141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</row>
    <row r="201" spans="1:18" ht="15.75" customHeight="1" x14ac:dyDescent="0.25">
      <c r="A201" s="142"/>
      <c r="B201" s="141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</row>
    <row r="202" spans="1:18" ht="15.75" customHeight="1" x14ac:dyDescent="0.25">
      <c r="A202" s="142"/>
      <c r="B202" s="141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</row>
    <row r="203" spans="1:18" ht="15.75" customHeight="1" x14ac:dyDescent="0.25">
      <c r="A203" s="142"/>
      <c r="B203" s="141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</row>
    <row r="204" spans="1:18" ht="15.75" customHeight="1" x14ac:dyDescent="0.25">
      <c r="A204" s="142"/>
      <c r="B204" s="141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</row>
    <row r="205" spans="1:18" ht="15.75" customHeight="1" x14ac:dyDescent="0.25">
      <c r="A205" s="142"/>
      <c r="B205" s="141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</row>
    <row r="206" spans="1:18" ht="15.75" customHeight="1" x14ac:dyDescent="0.25">
      <c r="A206" s="142"/>
      <c r="B206" s="141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</row>
    <row r="207" spans="1:18" ht="15.75" customHeight="1" x14ac:dyDescent="0.25">
      <c r="A207" s="142"/>
      <c r="B207" s="141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</row>
    <row r="208" spans="1:18" ht="15.75" customHeight="1" x14ac:dyDescent="0.25">
      <c r="A208" s="142"/>
      <c r="B208" s="141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</row>
    <row r="209" spans="1:18" ht="15.75" customHeight="1" x14ac:dyDescent="0.25">
      <c r="A209" s="142"/>
      <c r="B209" s="141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</row>
    <row r="210" spans="1:18" ht="15.75" customHeight="1" x14ac:dyDescent="0.25">
      <c r="A210" s="142"/>
      <c r="B210" s="141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</row>
    <row r="211" spans="1:18" ht="15.75" customHeight="1" x14ac:dyDescent="0.25">
      <c r="A211" s="142"/>
      <c r="B211" s="141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</row>
    <row r="212" spans="1:18" ht="15.75" customHeight="1" x14ac:dyDescent="0.25">
      <c r="A212" s="142"/>
      <c r="B212" s="141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</row>
    <row r="213" spans="1:18" ht="15.75" customHeight="1" x14ac:dyDescent="0.25">
      <c r="A213" s="142"/>
      <c r="B213" s="141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</row>
    <row r="214" spans="1:18" ht="15.75" customHeight="1" x14ac:dyDescent="0.25">
      <c r="A214" s="142"/>
      <c r="B214" s="141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</row>
    <row r="215" spans="1:18" ht="15.75" customHeight="1" x14ac:dyDescent="0.25">
      <c r="A215" s="142"/>
      <c r="B215" s="141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</row>
    <row r="216" spans="1:18" ht="15.75" customHeight="1" x14ac:dyDescent="0.25">
      <c r="A216" s="142"/>
      <c r="B216" s="141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</row>
    <row r="217" spans="1:18" ht="15.75" customHeight="1" x14ac:dyDescent="0.25">
      <c r="A217" s="142"/>
      <c r="B217" s="141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</row>
    <row r="218" spans="1:18" ht="15.75" customHeight="1" x14ac:dyDescent="0.25">
      <c r="A218" s="142"/>
      <c r="B218" s="141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</row>
    <row r="219" spans="1:18" ht="15.75" customHeight="1" x14ac:dyDescent="0.25">
      <c r="A219" s="142"/>
      <c r="B219" s="141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</row>
    <row r="220" spans="1:18" ht="15.75" customHeight="1" x14ac:dyDescent="0.25">
      <c r="A220" s="142"/>
      <c r="B220" s="141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</row>
    <row r="221" spans="1:18" ht="15.75" customHeight="1" x14ac:dyDescent="0.25">
      <c r="A221" s="142"/>
      <c r="B221" s="141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</row>
    <row r="222" spans="1:18" ht="15.75" customHeight="1" x14ac:dyDescent="0.25">
      <c r="A222" s="142"/>
      <c r="B222" s="141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</row>
    <row r="223" spans="1:18" ht="15.75" customHeight="1" x14ac:dyDescent="0.25">
      <c r="A223" s="142"/>
      <c r="B223" s="141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</row>
    <row r="224" spans="1:18" ht="15.75" customHeight="1" x14ac:dyDescent="0.25">
      <c r="A224" s="142"/>
      <c r="B224" s="141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</row>
    <row r="225" spans="1:18" ht="15.75" customHeight="1" x14ac:dyDescent="0.25">
      <c r="A225" s="142"/>
      <c r="B225" s="141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</row>
    <row r="226" spans="1:18" ht="15.75" customHeight="1" x14ac:dyDescent="0.25">
      <c r="A226" s="142"/>
      <c r="B226" s="141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</row>
    <row r="227" spans="1:18" ht="15.75" customHeight="1" x14ac:dyDescent="0.25">
      <c r="A227" s="142"/>
      <c r="B227" s="141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</row>
    <row r="228" spans="1:18" ht="15.75" customHeight="1" x14ac:dyDescent="0.25">
      <c r="A228" s="142"/>
      <c r="B228" s="141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</row>
    <row r="229" spans="1:18" ht="15.75" customHeight="1" x14ac:dyDescent="0.25">
      <c r="A229" s="142"/>
      <c r="B229" s="141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</row>
    <row r="230" spans="1:18" ht="15.75" customHeight="1" x14ac:dyDescent="0.25">
      <c r="A230" s="142"/>
      <c r="B230" s="141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</row>
    <row r="231" spans="1:18" ht="15.75" customHeight="1" x14ac:dyDescent="0.25">
      <c r="A231" s="142"/>
      <c r="B231" s="141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</row>
    <row r="232" spans="1:18" ht="15.75" customHeight="1" x14ac:dyDescent="0.25">
      <c r="A232" s="142"/>
      <c r="B232" s="141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</row>
    <row r="233" spans="1:18" ht="15.75" customHeight="1" x14ac:dyDescent="0.25">
      <c r="A233" s="142"/>
      <c r="B233" s="141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</row>
    <row r="234" spans="1:18" ht="15.75" customHeight="1" x14ac:dyDescent="0.25">
      <c r="A234" s="142"/>
      <c r="B234" s="141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</row>
    <row r="235" spans="1:18" ht="15.75" customHeight="1" x14ac:dyDescent="0.25">
      <c r="A235" s="142"/>
      <c r="B235" s="141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</row>
    <row r="236" spans="1:18" ht="15.75" customHeight="1" x14ac:dyDescent="0.25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</row>
    <row r="237" spans="1:18" ht="15.75" customHeight="1" x14ac:dyDescent="0.25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</row>
    <row r="238" spans="1:18" ht="15.75" customHeight="1" x14ac:dyDescent="0.25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</row>
    <row r="239" spans="1:18" ht="15.75" customHeight="1" x14ac:dyDescent="0.25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</row>
    <row r="240" spans="1:18" ht="15.75" customHeight="1" x14ac:dyDescent="0.25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</row>
    <row r="241" spans="1:18" ht="15.75" customHeight="1" x14ac:dyDescent="0.25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</row>
    <row r="242" spans="1:18" ht="15.75" customHeight="1" x14ac:dyDescent="0.25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</row>
    <row r="243" spans="1:18" ht="15.75" customHeight="1" x14ac:dyDescent="0.25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</row>
    <row r="244" spans="1:18" ht="15.75" customHeight="1" x14ac:dyDescent="0.25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</row>
    <row r="245" spans="1:18" ht="15.75" customHeight="1" x14ac:dyDescent="0.25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</row>
    <row r="246" spans="1:18" ht="15.75" customHeight="1" x14ac:dyDescent="0.25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</row>
    <row r="247" spans="1:18" ht="15.75" customHeight="1" x14ac:dyDescent="0.25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</row>
    <row r="248" spans="1:18" ht="15.75" customHeight="1" x14ac:dyDescent="0.25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</row>
    <row r="249" spans="1:18" ht="15.75" customHeight="1" x14ac:dyDescent="0.25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</row>
    <row r="250" spans="1:18" ht="15.75" customHeight="1" x14ac:dyDescent="0.25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</row>
    <row r="251" spans="1:18" ht="15.75" customHeight="1" x14ac:dyDescent="0.25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</row>
    <row r="252" spans="1:18" ht="15.75" customHeight="1" x14ac:dyDescent="0.25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</row>
    <row r="253" spans="1:18" ht="15.75" customHeight="1" x14ac:dyDescent="0.25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</row>
    <row r="254" spans="1:18" ht="15.75" customHeight="1" x14ac:dyDescent="0.25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</row>
    <row r="255" spans="1:18" ht="15.75" customHeight="1" x14ac:dyDescent="0.25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</row>
    <row r="256" spans="1:18" ht="15.75" customHeight="1" x14ac:dyDescent="0.25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</row>
    <row r="257" spans="1:18" ht="15.75" customHeight="1" x14ac:dyDescent="0.25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</row>
    <row r="258" spans="1:18" ht="15.75" customHeight="1" x14ac:dyDescent="0.25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</row>
    <row r="259" spans="1:18" ht="15.75" customHeight="1" x14ac:dyDescent="0.25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</row>
    <row r="260" spans="1:18" ht="15.75" customHeight="1" x14ac:dyDescent="0.25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</row>
    <row r="261" spans="1:18" ht="15.75" customHeight="1" x14ac:dyDescent="0.25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</row>
    <row r="262" spans="1:18" ht="15.75" customHeight="1" x14ac:dyDescent="0.25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</row>
    <row r="263" spans="1:18" ht="15.75" customHeight="1" x14ac:dyDescent="0.25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</row>
    <row r="264" spans="1:18" ht="15.75" customHeight="1" x14ac:dyDescent="0.25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</row>
    <row r="265" spans="1:18" ht="15.75" customHeight="1" x14ac:dyDescent="0.25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</row>
    <row r="266" spans="1:18" ht="15.75" customHeight="1" x14ac:dyDescent="0.25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</row>
    <row r="267" spans="1:18" ht="15.75" customHeight="1" x14ac:dyDescent="0.25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</row>
    <row r="268" spans="1:18" ht="15.75" customHeight="1" x14ac:dyDescent="0.25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</row>
    <row r="269" spans="1:18" ht="15.75" customHeight="1" x14ac:dyDescent="0.25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</row>
    <row r="270" spans="1:18" ht="15.75" customHeight="1" x14ac:dyDescent="0.25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</row>
    <row r="271" spans="1:18" ht="15.75" customHeight="1" x14ac:dyDescent="0.25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</row>
    <row r="272" spans="1:18" ht="15.75" customHeight="1" x14ac:dyDescent="0.25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</row>
    <row r="273" spans="1:18" ht="15.75" customHeight="1" x14ac:dyDescent="0.25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</row>
    <row r="274" spans="1:18" ht="15.75" customHeight="1" x14ac:dyDescent="0.25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</row>
    <row r="275" spans="1:18" ht="15.75" customHeight="1" x14ac:dyDescent="0.25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</row>
    <row r="276" spans="1:18" ht="15.75" customHeight="1" x14ac:dyDescent="0.25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</row>
    <row r="277" spans="1:18" ht="15.75" customHeight="1" x14ac:dyDescent="0.25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</row>
    <row r="278" spans="1:18" ht="15.75" customHeight="1" x14ac:dyDescent="0.25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</row>
    <row r="279" spans="1:18" ht="15.75" customHeight="1" x14ac:dyDescent="0.25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</row>
    <row r="280" spans="1:18" ht="15.75" customHeight="1" x14ac:dyDescent="0.25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</row>
    <row r="281" spans="1:18" ht="15.75" customHeight="1" x14ac:dyDescent="0.25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</row>
    <row r="282" spans="1:18" ht="15.75" customHeight="1" x14ac:dyDescent="0.25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</row>
    <row r="283" spans="1:18" ht="15.75" customHeight="1" x14ac:dyDescent="0.25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</row>
    <row r="284" spans="1:18" ht="15.75" customHeight="1" x14ac:dyDescent="0.25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</row>
    <row r="285" spans="1:18" ht="15.75" customHeight="1" x14ac:dyDescent="0.25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</row>
    <row r="286" spans="1:18" ht="15.75" customHeight="1" x14ac:dyDescent="0.25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</row>
    <row r="287" spans="1:18" ht="15.75" customHeight="1" x14ac:dyDescent="0.25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</row>
    <row r="288" spans="1:18" ht="15.75" customHeight="1" x14ac:dyDescent="0.25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</row>
    <row r="289" spans="1:18" ht="15.75" customHeight="1" x14ac:dyDescent="0.25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</row>
    <row r="290" spans="1:18" ht="15.75" customHeight="1" x14ac:dyDescent="0.25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</row>
    <row r="291" spans="1:18" ht="15.75" customHeight="1" x14ac:dyDescent="0.25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</row>
    <row r="292" spans="1:18" ht="15.75" customHeight="1" x14ac:dyDescent="0.25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</row>
    <row r="293" spans="1:18" ht="15.75" customHeight="1" x14ac:dyDescent="0.25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</row>
    <row r="294" spans="1:18" ht="15.75" customHeight="1" x14ac:dyDescent="0.25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</row>
    <row r="295" spans="1:18" ht="15.75" customHeight="1" x14ac:dyDescent="0.25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</row>
    <row r="296" spans="1:18" ht="15.75" customHeight="1" x14ac:dyDescent="0.25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</row>
    <row r="297" spans="1:18" ht="15.75" customHeight="1" x14ac:dyDescent="0.25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</row>
    <row r="298" spans="1:18" ht="15.75" customHeight="1" x14ac:dyDescent="0.25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</row>
    <row r="299" spans="1:18" ht="15.75" customHeight="1" x14ac:dyDescent="0.25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</row>
    <row r="300" spans="1:18" ht="15.75" customHeight="1" x14ac:dyDescent="0.25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</row>
    <row r="301" spans="1:18" ht="15.75" customHeight="1" x14ac:dyDescent="0.25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</row>
    <row r="302" spans="1:18" ht="15.75" customHeight="1" x14ac:dyDescent="0.25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</row>
    <row r="303" spans="1:18" ht="15.75" customHeight="1" x14ac:dyDescent="0.25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</row>
    <row r="304" spans="1:18" ht="15.75" customHeight="1" x14ac:dyDescent="0.25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</row>
    <row r="305" spans="1:18" ht="15.75" customHeight="1" x14ac:dyDescent="0.25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</row>
    <row r="306" spans="1:18" ht="15.75" customHeight="1" x14ac:dyDescent="0.25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</row>
    <row r="307" spans="1:18" ht="15.75" customHeight="1" x14ac:dyDescent="0.25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</row>
    <row r="308" spans="1:18" ht="15.75" customHeight="1" x14ac:dyDescent="0.25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</row>
    <row r="309" spans="1:18" ht="15.75" customHeight="1" x14ac:dyDescent="0.25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</row>
    <row r="310" spans="1:18" ht="15.75" customHeight="1" x14ac:dyDescent="0.25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</row>
    <row r="311" spans="1:18" ht="15.75" customHeight="1" x14ac:dyDescent="0.25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</row>
    <row r="312" spans="1:18" ht="15.75" customHeight="1" x14ac:dyDescent="0.25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</row>
    <row r="313" spans="1:18" ht="15.75" customHeight="1" x14ac:dyDescent="0.25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</row>
    <row r="314" spans="1:18" ht="15.75" customHeight="1" x14ac:dyDescent="0.25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</row>
    <row r="315" spans="1:18" ht="15.75" customHeight="1" x14ac:dyDescent="0.25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</row>
    <row r="316" spans="1:18" ht="15.75" customHeight="1" x14ac:dyDescent="0.25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</row>
    <row r="317" spans="1:18" ht="15.75" customHeight="1" x14ac:dyDescent="0.25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</row>
    <row r="318" spans="1:18" ht="15.75" customHeight="1" x14ac:dyDescent="0.25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</row>
    <row r="319" spans="1:18" ht="15.75" customHeight="1" x14ac:dyDescent="0.25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</row>
    <row r="320" spans="1:18" ht="15.75" customHeight="1" x14ac:dyDescent="0.25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</row>
    <row r="321" spans="1:18" ht="15.75" customHeight="1" x14ac:dyDescent="0.25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</row>
    <row r="322" spans="1:18" ht="15.75" customHeight="1" x14ac:dyDescent="0.25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</row>
    <row r="323" spans="1:18" ht="15.75" customHeight="1" x14ac:dyDescent="0.25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</row>
    <row r="324" spans="1:18" ht="15.75" customHeight="1" x14ac:dyDescent="0.25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</row>
    <row r="325" spans="1:18" ht="15.75" customHeight="1" x14ac:dyDescent="0.25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</row>
    <row r="326" spans="1:18" ht="15.75" customHeight="1" x14ac:dyDescent="0.25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</row>
    <row r="327" spans="1:18" ht="15.75" customHeight="1" x14ac:dyDescent="0.25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</row>
    <row r="328" spans="1:18" ht="15.75" customHeight="1" x14ac:dyDescent="0.25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</row>
    <row r="329" spans="1:18" ht="15.75" customHeight="1" x14ac:dyDescent="0.25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</row>
    <row r="330" spans="1:18" ht="15.75" customHeight="1" x14ac:dyDescent="0.25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</row>
    <row r="331" spans="1:18" ht="15.75" customHeight="1" x14ac:dyDescent="0.25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</row>
    <row r="332" spans="1:18" ht="15.75" customHeight="1" x14ac:dyDescent="0.25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</row>
    <row r="333" spans="1:18" ht="15.75" customHeight="1" x14ac:dyDescent="0.25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</row>
    <row r="334" spans="1:18" ht="15.75" customHeight="1" x14ac:dyDescent="0.25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</row>
    <row r="335" spans="1:18" ht="15.75" customHeight="1" x14ac:dyDescent="0.25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</row>
    <row r="336" spans="1:18" ht="15.75" customHeight="1" x14ac:dyDescent="0.25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</row>
    <row r="337" spans="1:18" ht="15.75" customHeight="1" x14ac:dyDescent="0.25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</row>
    <row r="338" spans="1:18" ht="15.75" customHeight="1" x14ac:dyDescent="0.25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</row>
    <row r="339" spans="1:18" ht="15.75" customHeight="1" x14ac:dyDescent="0.25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</row>
    <row r="340" spans="1:18" ht="15.75" customHeight="1" x14ac:dyDescent="0.25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</row>
    <row r="341" spans="1:18" ht="15.75" customHeight="1" x14ac:dyDescent="0.25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</row>
    <row r="342" spans="1:18" ht="15.75" customHeight="1" x14ac:dyDescent="0.25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</row>
    <row r="343" spans="1:18" ht="15.75" customHeight="1" x14ac:dyDescent="0.25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</row>
    <row r="344" spans="1:18" ht="15.75" customHeight="1" x14ac:dyDescent="0.25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</row>
    <row r="345" spans="1:18" ht="15.75" customHeight="1" x14ac:dyDescent="0.25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</row>
    <row r="346" spans="1:18" ht="15.75" customHeight="1" x14ac:dyDescent="0.25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</row>
    <row r="347" spans="1:18" ht="15.75" customHeight="1" x14ac:dyDescent="0.25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</row>
    <row r="348" spans="1:18" ht="15.75" customHeight="1" x14ac:dyDescent="0.25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</row>
    <row r="349" spans="1:18" ht="15.75" customHeight="1" x14ac:dyDescent="0.25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</row>
    <row r="350" spans="1:18" ht="15.75" customHeight="1" x14ac:dyDescent="0.25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</row>
    <row r="351" spans="1:18" ht="15.75" customHeight="1" x14ac:dyDescent="0.25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</row>
    <row r="352" spans="1:18" ht="15.75" customHeight="1" x14ac:dyDescent="0.25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</row>
    <row r="353" spans="1:18" ht="15.75" customHeight="1" x14ac:dyDescent="0.25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</row>
    <row r="354" spans="1:18" ht="15.75" customHeight="1" x14ac:dyDescent="0.25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</row>
    <row r="355" spans="1:18" ht="15.75" customHeight="1" x14ac:dyDescent="0.25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</row>
    <row r="356" spans="1:18" ht="15.75" customHeight="1" x14ac:dyDescent="0.25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</row>
    <row r="357" spans="1:18" ht="15.75" customHeight="1" x14ac:dyDescent="0.25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</row>
    <row r="358" spans="1:18" ht="15.75" customHeight="1" x14ac:dyDescent="0.25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</row>
    <row r="359" spans="1:18" ht="15.75" customHeight="1" x14ac:dyDescent="0.25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</row>
    <row r="360" spans="1:18" ht="15.75" customHeight="1" x14ac:dyDescent="0.25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</row>
    <row r="361" spans="1:18" ht="15.75" customHeight="1" x14ac:dyDescent="0.25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</row>
    <row r="362" spans="1:18" ht="15.75" customHeight="1" x14ac:dyDescent="0.25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</row>
    <row r="363" spans="1:18" ht="15.75" customHeight="1" x14ac:dyDescent="0.25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</row>
    <row r="364" spans="1:18" ht="15.75" customHeight="1" x14ac:dyDescent="0.25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</row>
    <row r="365" spans="1:18" ht="15.75" customHeight="1" x14ac:dyDescent="0.25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</row>
    <row r="366" spans="1:18" ht="15.75" customHeight="1" x14ac:dyDescent="0.25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</row>
    <row r="367" spans="1:18" ht="15.75" customHeight="1" x14ac:dyDescent="0.25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</row>
    <row r="368" spans="1:18" ht="15.75" customHeight="1" x14ac:dyDescent="0.25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</row>
    <row r="369" spans="1:18" ht="15.75" customHeight="1" x14ac:dyDescent="0.25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</row>
    <row r="370" spans="1:18" ht="15.75" customHeight="1" x14ac:dyDescent="0.25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</row>
    <row r="371" spans="1:18" ht="15.75" customHeight="1" x14ac:dyDescent="0.25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</row>
    <row r="372" spans="1:18" ht="15.75" customHeight="1" x14ac:dyDescent="0.25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</row>
    <row r="373" spans="1:18" ht="15.75" customHeight="1" x14ac:dyDescent="0.25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</row>
    <row r="374" spans="1:18" ht="15.75" customHeight="1" x14ac:dyDescent="0.25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</row>
    <row r="375" spans="1:18" ht="15.75" customHeight="1" x14ac:dyDescent="0.25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</row>
    <row r="376" spans="1:18" ht="15.75" customHeight="1" x14ac:dyDescent="0.25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</row>
    <row r="377" spans="1:18" ht="15.75" customHeight="1" x14ac:dyDescent="0.25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</row>
    <row r="378" spans="1:18" ht="15.75" customHeight="1" x14ac:dyDescent="0.25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</row>
    <row r="379" spans="1:18" ht="15.75" customHeight="1" x14ac:dyDescent="0.25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</row>
    <row r="380" spans="1:18" ht="15.75" customHeight="1" x14ac:dyDescent="0.25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</row>
    <row r="381" spans="1:18" ht="15.75" customHeight="1" x14ac:dyDescent="0.25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</row>
    <row r="382" spans="1:18" ht="15.75" customHeight="1" x14ac:dyDescent="0.25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</row>
    <row r="383" spans="1:18" ht="15.75" customHeight="1" x14ac:dyDescent="0.25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</row>
    <row r="384" spans="1:18" ht="15.75" customHeight="1" x14ac:dyDescent="0.25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</row>
    <row r="385" spans="1:18" ht="15.75" customHeight="1" x14ac:dyDescent="0.25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</row>
    <row r="386" spans="1:18" ht="15.75" customHeight="1" x14ac:dyDescent="0.25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</row>
    <row r="387" spans="1:18" ht="15.75" customHeight="1" x14ac:dyDescent="0.25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</row>
    <row r="388" spans="1:18" ht="15.75" customHeight="1" x14ac:dyDescent="0.25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</row>
    <row r="389" spans="1:18" ht="15.75" customHeight="1" x14ac:dyDescent="0.25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</row>
    <row r="390" spans="1:18" ht="15.75" customHeight="1" x14ac:dyDescent="0.25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</row>
    <row r="391" spans="1:18" ht="15.75" customHeight="1" x14ac:dyDescent="0.25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</row>
    <row r="392" spans="1:18" ht="15.75" customHeight="1" x14ac:dyDescent="0.25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</row>
    <row r="393" spans="1:18" ht="15.75" customHeight="1" x14ac:dyDescent="0.25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</row>
    <row r="394" spans="1:18" ht="15.75" customHeight="1" x14ac:dyDescent="0.25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</row>
    <row r="395" spans="1:18" ht="15.75" customHeight="1" x14ac:dyDescent="0.25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</row>
    <row r="396" spans="1:18" ht="15.75" customHeight="1" x14ac:dyDescent="0.25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</row>
    <row r="397" spans="1:18" ht="15.75" customHeight="1" x14ac:dyDescent="0.25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</row>
    <row r="398" spans="1:18" ht="15.75" customHeight="1" x14ac:dyDescent="0.25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</row>
    <row r="399" spans="1:18" ht="15.75" customHeight="1" x14ac:dyDescent="0.25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</row>
    <row r="400" spans="1:18" ht="15.75" customHeight="1" x14ac:dyDescent="0.25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</row>
    <row r="401" spans="1:18" ht="15.75" customHeight="1" x14ac:dyDescent="0.25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</row>
    <row r="402" spans="1:18" ht="15.75" customHeight="1" x14ac:dyDescent="0.25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</row>
    <row r="403" spans="1:18" ht="15.75" customHeight="1" x14ac:dyDescent="0.25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</row>
    <row r="404" spans="1:18" ht="15.75" customHeight="1" x14ac:dyDescent="0.25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</row>
    <row r="405" spans="1:18" ht="15.75" customHeight="1" x14ac:dyDescent="0.25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</row>
    <row r="406" spans="1:18" ht="15.75" customHeight="1" x14ac:dyDescent="0.25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</row>
    <row r="407" spans="1:18" ht="15.75" customHeight="1" x14ac:dyDescent="0.25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</row>
    <row r="408" spans="1:18" ht="15.75" customHeight="1" x14ac:dyDescent="0.25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</row>
    <row r="409" spans="1:18" ht="15.75" customHeight="1" x14ac:dyDescent="0.25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</row>
    <row r="410" spans="1:18" ht="15.75" customHeight="1" x14ac:dyDescent="0.25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</row>
    <row r="411" spans="1:18" ht="15.75" customHeight="1" x14ac:dyDescent="0.25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</row>
    <row r="412" spans="1:18" ht="15.75" customHeight="1" x14ac:dyDescent="0.25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</row>
    <row r="413" spans="1:18" ht="15.75" customHeight="1" x14ac:dyDescent="0.25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</row>
    <row r="414" spans="1:18" ht="15.75" customHeight="1" x14ac:dyDescent="0.25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</row>
    <row r="415" spans="1:18" ht="15.75" customHeight="1" x14ac:dyDescent="0.25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</row>
    <row r="416" spans="1:18" ht="15.75" customHeight="1" x14ac:dyDescent="0.25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</row>
    <row r="417" spans="1:18" ht="15.75" customHeight="1" x14ac:dyDescent="0.25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</row>
    <row r="418" spans="1:18" ht="15.75" customHeight="1" x14ac:dyDescent="0.25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</row>
    <row r="419" spans="1:18" ht="15.75" customHeight="1" x14ac:dyDescent="0.25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</row>
    <row r="420" spans="1:18" ht="15.75" customHeight="1" x14ac:dyDescent="0.25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</row>
    <row r="421" spans="1:18" ht="15.75" customHeight="1" x14ac:dyDescent="0.25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</row>
    <row r="422" spans="1:18" ht="15.75" customHeight="1" x14ac:dyDescent="0.25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</row>
    <row r="423" spans="1:18" ht="15.75" customHeight="1" x14ac:dyDescent="0.25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</row>
    <row r="424" spans="1:18" ht="15.75" customHeight="1" x14ac:dyDescent="0.25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</row>
    <row r="425" spans="1:18" ht="15.75" customHeight="1" x14ac:dyDescent="0.25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</row>
    <row r="426" spans="1:18" ht="15.75" customHeight="1" x14ac:dyDescent="0.25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</row>
    <row r="427" spans="1:18" ht="15.75" customHeight="1" x14ac:dyDescent="0.25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</row>
    <row r="428" spans="1:18" ht="15.75" customHeight="1" x14ac:dyDescent="0.25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</row>
    <row r="429" spans="1:18" ht="15.75" customHeight="1" x14ac:dyDescent="0.25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</row>
    <row r="430" spans="1:18" ht="15.75" customHeight="1" x14ac:dyDescent="0.25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</row>
    <row r="431" spans="1:18" ht="15.75" customHeight="1" x14ac:dyDescent="0.25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</row>
    <row r="432" spans="1:18" ht="15.75" customHeight="1" x14ac:dyDescent="0.25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</row>
    <row r="433" spans="1:18" ht="15.75" customHeight="1" x14ac:dyDescent="0.25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</row>
    <row r="434" spans="1:18" ht="15.75" customHeight="1" x14ac:dyDescent="0.25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</row>
    <row r="435" spans="1:18" ht="15.75" customHeight="1" x14ac:dyDescent="0.25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</row>
    <row r="436" spans="1:18" ht="15.75" customHeight="1" x14ac:dyDescent="0.25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</row>
    <row r="437" spans="1:18" ht="15.75" customHeight="1" x14ac:dyDescent="0.25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</row>
    <row r="438" spans="1:18" ht="15.75" customHeight="1" x14ac:dyDescent="0.25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</row>
    <row r="439" spans="1:18" ht="15.75" customHeight="1" x14ac:dyDescent="0.25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</row>
    <row r="440" spans="1:18" ht="15.75" customHeight="1" x14ac:dyDescent="0.25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</row>
    <row r="441" spans="1:18" ht="15.75" customHeight="1" x14ac:dyDescent="0.25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</row>
    <row r="442" spans="1:18" ht="15.75" customHeight="1" x14ac:dyDescent="0.25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</row>
    <row r="443" spans="1:18" ht="15.75" customHeight="1" x14ac:dyDescent="0.25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</row>
    <row r="444" spans="1:18" ht="15.75" customHeight="1" x14ac:dyDescent="0.25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</row>
    <row r="445" spans="1:18" ht="15.75" customHeight="1" x14ac:dyDescent="0.25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</row>
    <row r="446" spans="1:18" ht="15.75" customHeight="1" x14ac:dyDescent="0.25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</row>
    <row r="447" spans="1:18" ht="15.75" customHeight="1" x14ac:dyDescent="0.25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</row>
    <row r="448" spans="1:18" ht="15.75" customHeight="1" x14ac:dyDescent="0.25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</row>
    <row r="449" spans="1:18" ht="15.75" customHeight="1" x14ac:dyDescent="0.25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</row>
    <row r="450" spans="1:18" ht="15.75" customHeight="1" x14ac:dyDescent="0.25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</row>
    <row r="451" spans="1:18" ht="15.75" customHeight="1" x14ac:dyDescent="0.25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</row>
    <row r="452" spans="1:18" ht="15.75" customHeight="1" x14ac:dyDescent="0.25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</row>
    <row r="453" spans="1:18" ht="15.75" customHeight="1" x14ac:dyDescent="0.25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</row>
    <row r="454" spans="1:18" ht="15.75" customHeight="1" x14ac:dyDescent="0.25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</row>
    <row r="455" spans="1:18" ht="15.75" customHeight="1" x14ac:dyDescent="0.25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</row>
    <row r="456" spans="1:18" ht="15.75" customHeight="1" x14ac:dyDescent="0.25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</row>
    <row r="457" spans="1:18" ht="15.75" customHeight="1" x14ac:dyDescent="0.25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</row>
    <row r="458" spans="1:18" ht="15.75" customHeight="1" x14ac:dyDescent="0.25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</row>
    <row r="459" spans="1:18" ht="15.75" customHeight="1" x14ac:dyDescent="0.25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</row>
    <row r="460" spans="1:18" ht="15.75" customHeight="1" x14ac:dyDescent="0.25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</row>
    <row r="461" spans="1:18" ht="15.75" customHeight="1" x14ac:dyDescent="0.25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</row>
    <row r="462" spans="1:18" ht="15.75" customHeight="1" x14ac:dyDescent="0.25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</row>
    <row r="463" spans="1:18" ht="15.75" customHeight="1" x14ac:dyDescent="0.25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</row>
    <row r="464" spans="1:18" ht="15.75" customHeight="1" x14ac:dyDescent="0.25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</row>
    <row r="465" spans="1:18" ht="15.75" customHeight="1" x14ac:dyDescent="0.25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</row>
    <row r="466" spans="1:18" ht="15.75" customHeight="1" x14ac:dyDescent="0.25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</row>
    <row r="467" spans="1:18" ht="15.75" customHeight="1" x14ac:dyDescent="0.25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</row>
    <row r="468" spans="1:18" ht="15.75" customHeight="1" x14ac:dyDescent="0.25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</row>
    <row r="469" spans="1:18" ht="15.75" customHeight="1" x14ac:dyDescent="0.25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</row>
    <row r="470" spans="1:18" ht="15.75" customHeight="1" x14ac:dyDescent="0.25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</row>
    <row r="471" spans="1:18" ht="15.75" customHeight="1" x14ac:dyDescent="0.25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</row>
    <row r="472" spans="1:18" ht="15.75" customHeight="1" x14ac:dyDescent="0.25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</row>
    <row r="473" spans="1:18" ht="15.75" customHeight="1" x14ac:dyDescent="0.25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</row>
    <row r="474" spans="1:18" ht="15.75" customHeight="1" x14ac:dyDescent="0.25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</row>
    <row r="475" spans="1:18" ht="15.75" customHeight="1" x14ac:dyDescent="0.25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</row>
    <row r="476" spans="1:18" ht="15.75" customHeight="1" x14ac:dyDescent="0.25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</row>
    <row r="477" spans="1:18" ht="15.75" customHeight="1" x14ac:dyDescent="0.25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</row>
    <row r="478" spans="1:18" ht="15.75" customHeight="1" x14ac:dyDescent="0.25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</row>
    <row r="479" spans="1:18" ht="15.75" customHeight="1" x14ac:dyDescent="0.25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</row>
    <row r="480" spans="1:18" ht="15.75" customHeight="1" x14ac:dyDescent="0.25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</row>
    <row r="481" spans="1:18" ht="15.75" customHeight="1" x14ac:dyDescent="0.25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</row>
    <row r="482" spans="1:18" ht="15.75" customHeight="1" x14ac:dyDescent="0.25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</row>
    <row r="483" spans="1:18" ht="15.75" customHeight="1" x14ac:dyDescent="0.25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</row>
    <row r="484" spans="1:18" ht="15.75" customHeight="1" x14ac:dyDescent="0.25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</row>
    <row r="485" spans="1:18" ht="15.75" customHeight="1" x14ac:dyDescent="0.25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</row>
    <row r="486" spans="1:18" ht="15.75" customHeight="1" x14ac:dyDescent="0.25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</row>
    <row r="487" spans="1:18" ht="15.75" customHeight="1" x14ac:dyDescent="0.25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</row>
    <row r="488" spans="1:18" ht="15.75" customHeight="1" x14ac:dyDescent="0.25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</row>
    <row r="489" spans="1:18" ht="15.75" customHeight="1" x14ac:dyDescent="0.25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</row>
    <row r="490" spans="1:18" ht="15.75" customHeight="1" x14ac:dyDescent="0.25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</row>
    <row r="491" spans="1:18" ht="15.75" customHeight="1" x14ac:dyDescent="0.25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</row>
    <row r="492" spans="1:18" ht="15.75" customHeight="1" x14ac:dyDescent="0.25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</row>
    <row r="493" spans="1:18" ht="15.75" customHeight="1" x14ac:dyDescent="0.25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</row>
    <row r="494" spans="1:18" ht="15.75" customHeight="1" x14ac:dyDescent="0.25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</row>
    <row r="495" spans="1:18" ht="15.75" customHeight="1" x14ac:dyDescent="0.25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</row>
    <row r="496" spans="1:18" ht="15.75" customHeight="1" x14ac:dyDescent="0.25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</row>
    <row r="497" spans="1:18" ht="15.75" customHeight="1" x14ac:dyDescent="0.25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</row>
    <row r="498" spans="1:18" ht="15.75" customHeight="1" x14ac:dyDescent="0.25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</row>
    <row r="499" spans="1:18" ht="15.75" customHeight="1" x14ac:dyDescent="0.25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</row>
    <row r="500" spans="1:18" ht="15.75" customHeight="1" x14ac:dyDescent="0.25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</row>
    <row r="501" spans="1:18" ht="15.75" customHeight="1" x14ac:dyDescent="0.25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</row>
    <row r="502" spans="1:18" ht="15.75" customHeight="1" x14ac:dyDescent="0.25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</row>
    <row r="503" spans="1:18" ht="15.75" customHeight="1" x14ac:dyDescent="0.25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</row>
    <row r="504" spans="1:18" ht="15.75" customHeight="1" x14ac:dyDescent="0.25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</row>
    <row r="505" spans="1:18" ht="15.75" customHeight="1" x14ac:dyDescent="0.25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</row>
    <row r="506" spans="1:18" ht="15.75" customHeight="1" x14ac:dyDescent="0.25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</row>
    <row r="507" spans="1:18" ht="15.75" customHeight="1" x14ac:dyDescent="0.25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</row>
    <row r="508" spans="1:18" ht="15.75" customHeight="1" x14ac:dyDescent="0.25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</row>
    <row r="509" spans="1:18" ht="15.75" customHeight="1" x14ac:dyDescent="0.25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</row>
    <row r="510" spans="1:18" ht="15.75" customHeight="1" x14ac:dyDescent="0.25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</row>
    <row r="511" spans="1:18" ht="15.75" customHeight="1" x14ac:dyDescent="0.25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</row>
    <row r="512" spans="1:18" ht="15.75" customHeight="1" x14ac:dyDescent="0.25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</row>
    <row r="513" spans="1:18" ht="15.75" customHeight="1" x14ac:dyDescent="0.25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</row>
    <row r="514" spans="1:18" ht="15.75" customHeight="1" x14ac:dyDescent="0.25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</row>
    <row r="515" spans="1:18" ht="15.75" customHeight="1" x14ac:dyDescent="0.25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</row>
    <row r="516" spans="1:18" ht="15.75" customHeight="1" x14ac:dyDescent="0.25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</row>
    <row r="517" spans="1:18" ht="15.75" customHeight="1" x14ac:dyDescent="0.25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</row>
    <row r="518" spans="1:18" ht="15.75" customHeight="1" x14ac:dyDescent="0.25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</row>
    <row r="519" spans="1:18" ht="15.75" customHeight="1" x14ac:dyDescent="0.25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</row>
    <row r="520" spans="1:18" ht="15.75" customHeight="1" x14ac:dyDescent="0.25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</row>
    <row r="521" spans="1:18" ht="15.75" customHeight="1" x14ac:dyDescent="0.25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</row>
    <row r="522" spans="1:18" ht="15.75" customHeight="1" x14ac:dyDescent="0.25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</row>
    <row r="523" spans="1:18" ht="15.75" customHeight="1" x14ac:dyDescent="0.25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</row>
    <row r="524" spans="1:18" ht="15.75" customHeight="1" x14ac:dyDescent="0.25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</row>
    <row r="525" spans="1:18" ht="15.75" customHeight="1" x14ac:dyDescent="0.25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</row>
    <row r="526" spans="1:18" ht="15.75" customHeight="1" x14ac:dyDescent="0.25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</row>
    <row r="527" spans="1:18" ht="15.75" customHeight="1" x14ac:dyDescent="0.25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</row>
    <row r="528" spans="1:18" ht="15.75" customHeight="1" x14ac:dyDescent="0.25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</row>
    <row r="529" spans="1:18" ht="15.75" customHeight="1" x14ac:dyDescent="0.25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</row>
    <row r="530" spans="1:18" ht="15.75" customHeight="1" x14ac:dyDescent="0.25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</row>
    <row r="531" spans="1:18" ht="15.75" customHeight="1" x14ac:dyDescent="0.25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</row>
    <row r="532" spans="1:18" ht="15.75" customHeight="1" x14ac:dyDescent="0.25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</row>
    <row r="533" spans="1:18" ht="15.75" customHeight="1" x14ac:dyDescent="0.25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</row>
    <row r="534" spans="1:18" ht="15.75" customHeight="1" x14ac:dyDescent="0.25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</row>
    <row r="535" spans="1:18" ht="15.75" customHeight="1" x14ac:dyDescent="0.25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</row>
    <row r="536" spans="1:18" ht="15.75" customHeight="1" x14ac:dyDescent="0.25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</row>
    <row r="537" spans="1:18" ht="15.75" customHeight="1" x14ac:dyDescent="0.25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</row>
    <row r="538" spans="1:18" ht="15.75" customHeight="1" x14ac:dyDescent="0.25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</row>
    <row r="539" spans="1:18" ht="15.75" customHeight="1" x14ac:dyDescent="0.25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</row>
    <row r="540" spans="1:18" ht="15.75" customHeight="1" x14ac:dyDescent="0.25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</row>
    <row r="541" spans="1:18" ht="15.75" customHeight="1" x14ac:dyDescent="0.25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</row>
    <row r="542" spans="1:18" ht="15.75" customHeight="1" x14ac:dyDescent="0.25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</row>
    <row r="543" spans="1:18" ht="15.75" customHeight="1" x14ac:dyDescent="0.25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</row>
    <row r="544" spans="1:18" ht="15.75" customHeight="1" x14ac:dyDescent="0.25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</row>
    <row r="545" spans="1:18" ht="15.75" customHeight="1" x14ac:dyDescent="0.25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</row>
    <row r="546" spans="1:18" ht="15.75" customHeight="1" x14ac:dyDescent="0.25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</row>
    <row r="547" spans="1:18" ht="15.75" customHeight="1" x14ac:dyDescent="0.25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</row>
    <row r="548" spans="1:18" ht="15.75" customHeight="1" x14ac:dyDescent="0.25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</row>
    <row r="549" spans="1:18" ht="15.75" customHeight="1" x14ac:dyDescent="0.25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</row>
    <row r="550" spans="1:18" ht="15.75" customHeight="1" x14ac:dyDescent="0.25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</row>
    <row r="551" spans="1:18" ht="15.75" customHeight="1" x14ac:dyDescent="0.25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</row>
    <row r="552" spans="1:18" ht="15.75" customHeight="1" x14ac:dyDescent="0.25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</row>
    <row r="553" spans="1:18" ht="15.75" customHeight="1" x14ac:dyDescent="0.25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</row>
    <row r="554" spans="1:18" ht="15.75" customHeight="1" x14ac:dyDescent="0.25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</row>
    <row r="555" spans="1:18" ht="15.75" customHeight="1" x14ac:dyDescent="0.25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</row>
    <row r="556" spans="1:18" ht="15.75" customHeight="1" x14ac:dyDescent="0.25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</row>
    <row r="557" spans="1:18" ht="15.75" customHeight="1" x14ac:dyDescent="0.25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</row>
    <row r="558" spans="1:18" ht="15.75" customHeight="1" x14ac:dyDescent="0.25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</row>
    <row r="559" spans="1:18" ht="15.75" customHeight="1" x14ac:dyDescent="0.25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</row>
    <row r="560" spans="1:18" ht="15.75" customHeight="1" x14ac:dyDescent="0.25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</row>
    <row r="561" spans="1:18" ht="15.75" customHeight="1" x14ac:dyDescent="0.25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</row>
    <row r="562" spans="1:18" ht="15.75" customHeight="1" x14ac:dyDescent="0.25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</row>
    <row r="563" spans="1:18" ht="15.75" customHeight="1" x14ac:dyDescent="0.25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</row>
    <row r="564" spans="1:18" ht="15.75" customHeight="1" x14ac:dyDescent="0.25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</row>
    <row r="565" spans="1:18" ht="15.75" customHeight="1" x14ac:dyDescent="0.25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</row>
    <row r="566" spans="1:18" ht="15.75" customHeight="1" x14ac:dyDescent="0.25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</row>
    <row r="567" spans="1:18" ht="15.75" customHeight="1" x14ac:dyDescent="0.25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</row>
    <row r="568" spans="1:18" ht="15.75" customHeight="1" x14ac:dyDescent="0.25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</row>
    <row r="569" spans="1:18" ht="15.75" customHeight="1" x14ac:dyDescent="0.25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</row>
    <row r="570" spans="1:18" ht="15.75" customHeight="1" x14ac:dyDescent="0.25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</row>
    <row r="571" spans="1:18" ht="15.75" customHeight="1" x14ac:dyDescent="0.25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</row>
    <row r="572" spans="1:18" ht="15.75" customHeight="1" x14ac:dyDescent="0.25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</row>
    <row r="573" spans="1:18" ht="15.75" customHeight="1" x14ac:dyDescent="0.25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</row>
    <row r="574" spans="1:18" ht="15.75" customHeight="1" x14ac:dyDescent="0.25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</row>
    <row r="575" spans="1:18" ht="15.75" customHeight="1" x14ac:dyDescent="0.25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</row>
    <row r="576" spans="1:18" ht="15.75" customHeight="1" x14ac:dyDescent="0.25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</row>
    <row r="577" spans="1:18" ht="15.75" customHeight="1" x14ac:dyDescent="0.25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</row>
    <row r="578" spans="1:18" ht="15.75" customHeight="1" x14ac:dyDescent="0.25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</row>
    <row r="579" spans="1:18" ht="15.75" customHeight="1" x14ac:dyDescent="0.25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</row>
    <row r="580" spans="1:18" ht="15.75" customHeight="1" x14ac:dyDescent="0.25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</row>
    <row r="581" spans="1:18" ht="15.75" customHeight="1" x14ac:dyDescent="0.25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</row>
    <row r="582" spans="1:18" ht="15.75" customHeight="1" x14ac:dyDescent="0.25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</row>
    <row r="583" spans="1:18" ht="15.75" customHeight="1" x14ac:dyDescent="0.25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</row>
    <row r="584" spans="1:18" ht="15.75" customHeight="1" x14ac:dyDescent="0.25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</row>
    <row r="585" spans="1:18" ht="15.75" customHeight="1" x14ac:dyDescent="0.25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</row>
    <row r="586" spans="1:18" ht="15.75" customHeight="1" x14ac:dyDescent="0.25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</row>
    <row r="587" spans="1:18" ht="15.75" customHeight="1" x14ac:dyDescent="0.25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</row>
    <row r="588" spans="1:18" ht="15.75" customHeight="1" x14ac:dyDescent="0.25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</row>
    <row r="589" spans="1:18" ht="15.75" customHeight="1" x14ac:dyDescent="0.25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</row>
    <row r="590" spans="1:18" ht="15.75" customHeight="1" x14ac:dyDescent="0.25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</row>
    <row r="591" spans="1:18" ht="15.75" customHeight="1" x14ac:dyDescent="0.25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</row>
    <row r="592" spans="1:18" ht="15.75" customHeight="1" x14ac:dyDescent="0.25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</row>
    <row r="593" spans="1:18" ht="15.75" customHeight="1" x14ac:dyDescent="0.25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</row>
    <row r="594" spans="1:18" ht="15.75" customHeight="1" x14ac:dyDescent="0.25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</row>
    <row r="595" spans="1:18" ht="15.75" customHeight="1" x14ac:dyDescent="0.25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</row>
    <row r="596" spans="1:18" ht="15.75" customHeight="1" x14ac:dyDescent="0.25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</row>
    <row r="597" spans="1:18" ht="15.75" customHeight="1" x14ac:dyDescent="0.25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</row>
    <row r="598" spans="1:18" ht="15.75" customHeight="1" x14ac:dyDescent="0.25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</row>
    <row r="599" spans="1:18" ht="15.75" customHeight="1" x14ac:dyDescent="0.25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</row>
    <row r="600" spans="1:18" ht="15.75" customHeight="1" x14ac:dyDescent="0.25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</row>
    <row r="601" spans="1:18" ht="15.75" customHeight="1" x14ac:dyDescent="0.25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</row>
    <row r="602" spans="1:18" ht="15.75" customHeight="1" x14ac:dyDescent="0.25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</row>
    <row r="603" spans="1:18" ht="15.75" customHeight="1" x14ac:dyDescent="0.25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</row>
    <row r="604" spans="1:18" ht="15.75" customHeight="1" x14ac:dyDescent="0.25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</row>
    <row r="605" spans="1:18" ht="15.75" customHeight="1" x14ac:dyDescent="0.25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</row>
    <row r="606" spans="1:18" ht="15.75" customHeight="1" x14ac:dyDescent="0.25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</row>
    <row r="607" spans="1:18" ht="15.75" customHeight="1" x14ac:dyDescent="0.25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</row>
    <row r="608" spans="1:18" ht="15.75" customHeight="1" x14ac:dyDescent="0.25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</row>
    <row r="609" spans="1:18" ht="15.75" customHeight="1" x14ac:dyDescent="0.25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</row>
    <row r="610" spans="1:18" ht="15.75" customHeight="1" x14ac:dyDescent="0.25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</row>
    <row r="611" spans="1:18" ht="15.75" customHeight="1" x14ac:dyDescent="0.25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</row>
    <row r="612" spans="1:18" ht="15.75" customHeight="1" x14ac:dyDescent="0.25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</row>
    <row r="613" spans="1:18" ht="15.75" customHeight="1" x14ac:dyDescent="0.25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</row>
    <row r="614" spans="1:18" ht="15.75" customHeight="1" x14ac:dyDescent="0.25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</row>
    <row r="615" spans="1:18" ht="15.75" customHeight="1" x14ac:dyDescent="0.25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</row>
    <row r="616" spans="1:18" ht="15.75" customHeight="1" x14ac:dyDescent="0.25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</row>
    <row r="617" spans="1:18" ht="15.75" customHeight="1" x14ac:dyDescent="0.25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</row>
    <row r="618" spans="1:18" ht="15.75" customHeight="1" x14ac:dyDescent="0.25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</row>
    <row r="619" spans="1:18" ht="15.75" customHeight="1" x14ac:dyDescent="0.25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</row>
    <row r="620" spans="1:18" ht="15.75" customHeight="1" x14ac:dyDescent="0.25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</row>
    <row r="621" spans="1:18" ht="15.75" customHeight="1" x14ac:dyDescent="0.25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</row>
    <row r="622" spans="1:18" ht="15.75" customHeight="1" x14ac:dyDescent="0.25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</row>
    <row r="623" spans="1:18" ht="15.75" customHeight="1" x14ac:dyDescent="0.25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</row>
    <row r="624" spans="1:18" ht="15.75" customHeight="1" x14ac:dyDescent="0.25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</row>
    <row r="625" spans="1:18" ht="15.75" customHeight="1" x14ac:dyDescent="0.25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</row>
    <row r="626" spans="1:18" ht="15.75" customHeight="1" x14ac:dyDescent="0.25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</row>
    <row r="627" spans="1:18" ht="15.75" customHeight="1" x14ac:dyDescent="0.25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</row>
    <row r="628" spans="1:18" ht="15.75" customHeight="1" x14ac:dyDescent="0.25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</row>
    <row r="629" spans="1:18" ht="15.75" customHeight="1" x14ac:dyDescent="0.25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</row>
    <row r="630" spans="1:18" ht="15.75" customHeight="1" x14ac:dyDescent="0.25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</row>
    <row r="631" spans="1:18" ht="15.75" customHeight="1" x14ac:dyDescent="0.25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</row>
    <row r="632" spans="1:18" ht="15.75" customHeight="1" x14ac:dyDescent="0.25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</row>
    <row r="633" spans="1:18" ht="15.75" customHeight="1" x14ac:dyDescent="0.25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</row>
    <row r="634" spans="1:18" ht="15.75" customHeight="1" x14ac:dyDescent="0.25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</row>
    <row r="635" spans="1:18" ht="15.75" customHeight="1" x14ac:dyDescent="0.25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</row>
    <row r="636" spans="1:18" ht="15.75" customHeight="1" x14ac:dyDescent="0.25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</row>
    <row r="637" spans="1:18" ht="15.75" customHeight="1" x14ac:dyDescent="0.25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</row>
    <row r="638" spans="1:18" ht="15.75" customHeight="1" x14ac:dyDescent="0.25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</row>
    <row r="639" spans="1:18" ht="15.75" customHeight="1" x14ac:dyDescent="0.25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</row>
    <row r="640" spans="1:18" ht="15.75" customHeight="1" x14ac:dyDescent="0.25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</row>
    <row r="641" spans="1:18" ht="15.75" customHeight="1" x14ac:dyDescent="0.25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</row>
    <row r="642" spans="1:18" ht="15.75" customHeight="1" x14ac:dyDescent="0.25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</row>
    <row r="643" spans="1:18" ht="15.75" customHeight="1" x14ac:dyDescent="0.25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</row>
    <row r="644" spans="1:18" ht="15.75" customHeight="1" x14ac:dyDescent="0.25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</row>
    <row r="645" spans="1:18" ht="15.75" customHeight="1" x14ac:dyDescent="0.25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</row>
    <row r="646" spans="1:18" ht="15.75" customHeight="1" x14ac:dyDescent="0.25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</row>
    <row r="647" spans="1:18" ht="15.75" customHeight="1" x14ac:dyDescent="0.25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</row>
    <row r="648" spans="1:18" ht="15.75" customHeight="1" x14ac:dyDescent="0.25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</row>
    <row r="649" spans="1:18" ht="15.75" customHeight="1" x14ac:dyDescent="0.25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</row>
    <row r="650" spans="1:18" ht="15.75" customHeight="1" x14ac:dyDescent="0.25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</row>
    <row r="651" spans="1:18" ht="15.75" customHeight="1" x14ac:dyDescent="0.25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</row>
    <row r="652" spans="1:18" ht="15.75" customHeight="1" x14ac:dyDescent="0.25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</row>
    <row r="653" spans="1:18" ht="15.75" customHeight="1" x14ac:dyDescent="0.25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</row>
    <row r="654" spans="1:18" ht="15.75" customHeight="1" x14ac:dyDescent="0.25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</row>
    <row r="655" spans="1:18" ht="15.75" customHeight="1" x14ac:dyDescent="0.25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</row>
    <row r="656" spans="1:18" ht="15.75" customHeight="1" x14ac:dyDescent="0.25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</row>
    <row r="657" spans="1:18" ht="15.75" customHeight="1" x14ac:dyDescent="0.25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</row>
    <row r="658" spans="1:18" ht="15.75" customHeight="1" x14ac:dyDescent="0.25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</row>
    <row r="659" spans="1:18" ht="15.75" customHeight="1" x14ac:dyDescent="0.25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</row>
    <row r="660" spans="1:18" ht="15.75" customHeight="1" x14ac:dyDescent="0.25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</row>
    <row r="661" spans="1:18" ht="15.75" customHeight="1" x14ac:dyDescent="0.25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</row>
    <row r="662" spans="1:18" ht="15.75" customHeight="1" x14ac:dyDescent="0.25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</row>
    <row r="663" spans="1:18" ht="15.75" customHeight="1" x14ac:dyDescent="0.25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</row>
    <row r="664" spans="1:18" ht="15.75" customHeight="1" x14ac:dyDescent="0.25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</row>
    <row r="665" spans="1:18" ht="15.75" customHeight="1" x14ac:dyDescent="0.25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</row>
    <row r="666" spans="1:18" ht="15.75" customHeight="1" x14ac:dyDescent="0.25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</row>
    <row r="667" spans="1:18" ht="15.75" customHeight="1" x14ac:dyDescent="0.25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</row>
    <row r="668" spans="1:18" ht="15.75" customHeight="1" x14ac:dyDescent="0.25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</row>
    <row r="669" spans="1:18" ht="15.75" customHeight="1" x14ac:dyDescent="0.25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</row>
    <row r="670" spans="1:18" ht="15.75" customHeight="1" x14ac:dyDescent="0.25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</row>
    <row r="671" spans="1:18" ht="15.75" customHeight="1" x14ac:dyDescent="0.25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</row>
    <row r="672" spans="1:18" ht="15.75" customHeight="1" x14ac:dyDescent="0.25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</row>
    <row r="673" spans="1:18" ht="15.75" customHeight="1" x14ac:dyDescent="0.25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</row>
    <row r="674" spans="1:18" ht="15.75" customHeight="1" x14ac:dyDescent="0.25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</row>
    <row r="675" spans="1:18" ht="15.75" customHeight="1" x14ac:dyDescent="0.25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</row>
    <row r="676" spans="1:18" ht="15.75" customHeight="1" x14ac:dyDescent="0.25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</row>
    <row r="677" spans="1:18" ht="15.75" customHeight="1" x14ac:dyDescent="0.25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</row>
    <row r="678" spans="1:18" ht="15.75" customHeight="1" x14ac:dyDescent="0.25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</row>
    <row r="679" spans="1:18" ht="15.75" customHeight="1" x14ac:dyDescent="0.25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</row>
    <row r="680" spans="1:18" ht="15.75" customHeight="1" x14ac:dyDescent="0.25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</row>
    <row r="681" spans="1:18" ht="15.75" customHeight="1" x14ac:dyDescent="0.25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</row>
    <row r="682" spans="1:18" ht="15.75" customHeight="1" x14ac:dyDescent="0.25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</row>
    <row r="683" spans="1:18" ht="15.75" customHeight="1" x14ac:dyDescent="0.25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</row>
    <row r="684" spans="1:18" ht="15.75" customHeight="1" x14ac:dyDescent="0.25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</row>
    <row r="685" spans="1:18" ht="15.75" customHeight="1" x14ac:dyDescent="0.25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</row>
    <row r="686" spans="1:18" ht="15.75" customHeight="1" x14ac:dyDescent="0.25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</row>
    <row r="687" spans="1:18" ht="15.75" customHeight="1" x14ac:dyDescent="0.25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</row>
    <row r="688" spans="1:18" ht="15.75" customHeight="1" x14ac:dyDescent="0.25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</row>
    <row r="689" spans="1:18" ht="15.75" customHeight="1" x14ac:dyDescent="0.25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</row>
    <row r="690" spans="1:18" ht="15.75" customHeight="1" x14ac:dyDescent="0.25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</row>
    <row r="691" spans="1:18" ht="15.75" customHeight="1" x14ac:dyDescent="0.25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</row>
    <row r="692" spans="1:18" ht="15.75" customHeight="1" x14ac:dyDescent="0.25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</row>
    <row r="693" spans="1:18" ht="15.75" customHeight="1" x14ac:dyDescent="0.25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</row>
    <row r="694" spans="1:18" ht="15.75" customHeight="1" x14ac:dyDescent="0.25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</row>
    <row r="695" spans="1:18" ht="15.75" customHeight="1" x14ac:dyDescent="0.25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</row>
    <row r="696" spans="1:18" ht="15.75" customHeight="1" x14ac:dyDescent="0.25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</row>
    <row r="697" spans="1:18" ht="15.75" customHeight="1" x14ac:dyDescent="0.25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</row>
    <row r="698" spans="1:18" ht="15.75" customHeight="1" x14ac:dyDescent="0.25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</row>
    <row r="699" spans="1:18" ht="15.75" customHeight="1" x14ac:dyDescent="0.25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</row>
    <row r="700" spans="1:18" ht="15.75" customHeight="1" x14ac:dyDescent="0.25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</row>
    <row r="701" spans="1:18" ht="15.75" customHeight="1" x14ac:dyDescent="0.25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</row>
    <row r="702" spans="1:18" ht="15.75" customHeight="1" x14ac:dyDescent="0.25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</row>
    <row r="703" spans="1:18" ht="15.75" customHeight="1" x14ac:dyDescent="0.25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</row>
    <row r="704" spans="1:18" ht="15.75" customHeight="1" x14ac:dyDescent="0.25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</row>
    <row r="705" spans="1:18" ht="15.75" customHeight="1" x14ac:dyDescent="0.25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</row>
    <row r="706" spans="1:18" ht="15.75" customHeight="1" x14ac:dyDescent="0.25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</row>
    <row r="707" spans="1:18" ht="15.75" customHeight="1" x14ac:dyDescent="0.25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</row>
    <row r="708" spans="1:18" ht="15.75" customHeight="1" x14ac:dyDescent="0.25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</row>
    <row r="709" spans="1:18" ht="15.75" customHeight="1" x14ac:dyDescent="0.25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</row>
    <row r="710" spans="1:18" ht="15.75" customHeight="1" x14ac:dyDescent="0.25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</row>
    <row r="711" spans="1:18" ht="15.75" customHeight="1" x14ac:dyDescent="0.25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</row>
    <row r="712" spans="1:18" ht="15.75" customHeight="1" x14ac:dyDescent="0.25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</row>
    <row r="713" spans="1:18" ht="15.75" customHeight="1" x14ac:dyDescent="0.25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</row>
    <row r="714" spans="1:18" ht="15.75" customHeight="1" x14ac:dyDescent="0.25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</row>
    <row r="715" spans="1:18" ht="15.75" customHeight="1" x14ac:dyDescent="0.25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</row>
    <row r="716" spans="1:18" ht="15.75" customHeight="1" x14ac:dyDescent="0.25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</row>
    <row r="717" spans="1:18" ht="15.75" customHeight="1" x14ac:dyDescent="0.25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</row>
    <row r="718" spans="1:18" ht="15.75" customHeight="1" x14ac:dyDescent="0.25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</row>
    <row r="719" spans="1:18" ht="15.75" customHeight="1" x14ac:dyDescent="0.25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</row>
    <row r="720" spans="1:18" ht="15.75" customHeight="1" x14ac:dyDescent="0.25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</row>
    <row r="721" spans="1:18" ht="15.75" customHeight="1" x14ac:dyDescent="0.25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</row>
    <row r="722" spans="1:18" ht="15.75" customHeight="1" x14ac:dyDescent="0.25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</row>
    <row r="723" spans="1:18" ht="15.75" customHeight="1" x14ac:dyDescent="0.25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</row>
    <row r="724" spans="1:18" ht="15.75" customHeight="1" x14ac:dyDescent="0.25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</row>
    <row r="725" spans="1:18" ht="15.75" customHeight="1" x14ac:dyDescent="0.25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</row>
    <row r="726" spans="1:18" ht="15.75" customHeight="1" x14ac:dyDescent="0.25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</row>
    <row r="727" spans="1:18" ht="15.75" customHeight="1" x14ac:dyDescent="0.25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</row>
    <row r="728" spans="1:18" ht="15.75" customHeight="1" x14ac:dyDescent="0.25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</row>
    <row r="729" spans="1:18" ht="15.75" customHeight="1" x14ac:dyDescent="0.25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</row>
    <row r="730" spans="1:18" ht="15.75" customHeight="1" x14ac:dyDescent="0.25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</row>
    <row r="731" spans="1:18" ht="15.75" customHeight="1" x14ac:dyDescent="0.25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</row>
    <row r="732" spans="1:18" ht="15.75" customHeight="1" x14ac:dyDescent="0.25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</row>
    <row r="733" spans="1:18" ht="15.75" customHeight="1" x14ac:dyDescent="0.25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</row>
    <row r="734" spans="1:18" ht="15.75" customHeight="1" x14ac:dyDescent="0.25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</row>
    <row r="735" spans="1:18" ht="15.75" customHeight="1" x14ac:dyDescent="0.25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</row>
    <row r="736" spans="1:18" ht="15.75" customHeight="1" x14ac:dyDescent="0.25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</row>
    <row r="737" spans="1:18" ht="15.75" customHeight="1" x14ac:dyDescent="0.25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</row>
    <row r="738" spans="1:18" ht="15.75" customHeight="1" x14ac:dyDescent="0.25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</row>
    <row r="739" spans="1:18" ht="15.75" customHeight="1" x14ac:dyDescent="0.25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</row>
    <row r="740" spans="1:18" ht="15.75" customHeight="1" x14ac:dyDescent="0.25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</row>
    <row r="741" spans="1:18" ht="15.75" customHeight="1" x14ac:dyDescent="0.25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</row>
    <row r="742" spans="1:18" ht="15.75" customHeight="1" x14ac:dyDescent="0.25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</row>
    <row r="743" spans="1:18" ht="15.75" customHeight="1" x14ac:dyDescent="0.25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</row>
    <row r="744" spans="1:18" ht="15.75" customHeight="1" x14ac:dyDescent="0.25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</row>
    <row r="745" spans="1:18" ht="15.75" customHeight="1" x14ac:dyDescent="0.25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</row>
    <row r="746" spans="1:18" ht="15.75" customHeight="1" x14ac:dyDescent="0.25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</row>
    <row r="747" spans="1:18" ht="15.75" customHeight="1" x14ac:dyDescent="0.25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</row>
    <row r="748" spans="1:18" ht="15.75" customHeight="1" x14ac:dyDescent="0.25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</row>
    <row r="749" spans="1:18" ht="15.75" customHeight="1" x14ac:dyDescent="0.25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</row>
    <row r="750" spans="1:18" ht="15.75" customHeight="1" x14ac:dyDescent="0.25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</row>
    <row r="751" spans="1:18" ht="15.75" customHeight="1" x14ac:dyDescent="0.25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</row>
    <row r="752" spans="1:18" ht="15.75" customHeight="1" x14ac:dyDescent="0.25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</row>
    <row r="753" spans="1:18" ht="15.75" customHeight="1" x14ac:dyDescent="0.25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</row>
    <row r="754" spans="1:18" ht="15.75" customHeight="1" x14ac:dyDescent="0.25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</row>
    <row r="755" spans="1:18" ht="15.75" customHeight="1" x14ac:dyDescent="0.25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</row>
    <row r="756" spans="1:18" ht="15.75" customHeight="1" x14ac:dyDescent="0.25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</row>
    <row r="757" spans="1:18" ht="15.75" customHeight="1" x14ac:dyDescent="0.25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</row>
    <row r="758" spans="1:18" ht="15.75" customHeight="1" x14ac:dyDescent="0.25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</row>
    <row r="759" spans="1:18" ht="15.75" customHeight="1" x14ac:dyDescent="0.25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</row>
    <row r="760" spans="1:18" ht="15.75" customHeight="1" x14ac:dyDescent="0.25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</row>
    <row r="761" spans="1:18" ht="15.75" customHeight="1" x14ac:dyDescent="0.25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</row>
    <row r="762" spans="1:18" ht="15.75" customHeight="1" x14ac:dyDescent="0.25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</row>
    <row r="763" spans="1:18" ht="15.75" customHeight="1" x14ac:dyDescent="0.25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</row>
    <row r="764" spans="1:18" ht="15.75" customHeight="1" x14ac:dyDescent="0.25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</row>
    <row r="765" spans="1:18" ht="15.75" customHeight="1" x14ac:dyDescent="0.25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</row>
    <row r="766" spans="1:18" ht="15.75" customHeight="1" x14ac:dyDescent="0.25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</row>
    <row r="767" spans="1:18" ht="15.75" customHeight="1" x14ac:dyDescent="0.25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</row>
    <row r="768" spans="1:18" ht="15.75" customHeight="1" x14ac:dyDescent="0.25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</row>
    <row r="769" spans="1:18" ht="15.75" customHeight="1" x14ac:dyDescent="0.25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</row>
    <row r="770" spans="1:18" ht="15.75" customHeight="1" x14ac:dyDescent="0.25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</row>
    <row r="771" spans="1:18" ht="15.75" customHeight="1" x14ac:dyDescent="0.25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</row>
    <row r="772" spans="1:18" ht="15.75" customHeight="1" x14ac:dyDescent="0.25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</row>
    <row r="773" spans="1:18" ht="15.75" customHeight="1" x14ac:dyDescent="0.25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</row>
    <row r="774" spans="1:18" ht="15.75" customHeight="1" x14ac:dyDescent="0.25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</row>
    <row r="775" spans="1:18" ht="15.75" customHeight="1" x14ac:dyDescent="0.25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</row>
    <row r="776" spans="1:18" ht="15.75" customHeight="1" x14ac:dyDescent="0.25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</row>
    <row r="777" spans="1:18" ht="15.75" customHeight="1" x14ac:dyDescent="0.25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</row>
    <row r="778" spans="1:18" ht="15.75" customHeight="1" x14ac:dyDescent="0.25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</row>
    <row r="779" spans="1:18" ht="15.75" customHeight="1" x14ac:dyDescent="0.25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</row>
    <row r="780" spans="1:18" ht="15.75" customHeight="1" x14ac:dyDescent="0.25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</row>
    <row r="781" spans="1:18" ht="15.75" customHeight="1" x14ac:dyDescent="0.25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</row>
    <row r="782" spans="1:18" ht="15.75" customHeight="1" x14ac:dyDescent="0.25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</row>
    <row r="783" spans="1:18" ht="15.75" customHeight="1" x14ac:dyDescent="0.25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</row>
    <row r="784" spans="1:18" ht="15.75" customHeight="1" x14ac:dyDescent="0.25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</row>
    <row r="785" spans="1:18" ht="15.75" customHeight="1" x14ac:dyDescent="0.25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</row>
    <row r="786" spans="1:18" ht="15.75" customHeight="1" x14ac:dyDescent="0.25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</row>
    <row r="787" spans="1:18" ht="15.75" customHeight="1" x14ac:dyDescent="0.25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</row>
    <row r="788" spans="1:18" ht="15.75" customHeight="1" x14ac:dyDescent="0.25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</row>
    <row r="789" spans="1:18" ht="15.75" customHeight="1" x14ac:dyDescent="0.25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</row>
    <row r="790" spans="1:18" ht="15.75" customHeight="1" x14ac:dyDescent="0.25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</row>
    <row r="791" spans="1:18" ht="15.75" customHeight="1" x14ac:dyDescent="0.25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</row>
    <row r="792" spans="1:18" ht="15.75" customHeight="1" x14ac:dyDescent="0.25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</row>
    <row r="793" spans="1:18" ht="15.75" customHeight="1" x14ac:dyDescent="0.25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</row>
    <row r="794" spans="1:18" ht="15.75" customHeight="1" x14ac:dyDescent="0.25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</row>
    <row r="795" spans="1:18" ht="15.75" customHeight="1" x14ac:dyDescent="0.25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</row>
    <row r="796" spans="1:18" ht="15.75" customHeight="1" x14ac:dyDescent="0.25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</row>
    <row r="797" spans="1:18" ht="15.75" customHeight="1" x14ac:dyDescent="0.25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</row>
    <row r="798" spans="1:18" ht="15.75" customHeight="1" x14ac:dyDescent="0.25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</row>
    <row r="799" spans="1:18" ht="15.75" customHeight="1" x14ac:dyDescent="0.25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</row>
    <row r="800" spans="1:18" ht="15.75" customHeight="1" x14ac:dyDescent="0.25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</row>
    <row r="801" spans="1:18" ht="15.75" customHeight="1" x14ac:dyDescent="0.25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</row>
    <row r="802" spans="1:18" ht="15.75" customHeight="1" x14ac:dyDescent="0.25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</row>
    <row r="803" spans="1:18" ht="15.75" customHeight="1" x14ac:dyDescent="0.25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</row>
    <row r="804" spans="1:18" ht="15.75" customHeight="1" x14ac:dyDescent="0.25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</row>
    <row r="805" spans="1:18" ht="15.75" customHeight="1" x14ac:dyDescent="0.25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</row>
    <row r="806" spans="1:18" ht="15.75" customHeight="1" x14ac:dyDescent="0.25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</row>
    <row r="807" spans="1:18" ht="15.75" customHeight="1" x14ac:dyDescent="0.25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</row>
    <row r="808" spans="1:18" ht="15.75" customHeight="1" x14ac:dyDescent="0.25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</row>
    <row r="809" spans="1:18" ht="15.75" customHeight="1" x14ac:dyDescent="0.25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</row>
    <row r="810" spans="1:18" ht="15.75" customHeight="1" x14ac:dyDescent="0.25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</row>
    <row r="811" spans="1:18" ht="15.75" customHeight="1" x14ac:dyDescent="0.25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</row>
    <row r="812" spans="1:18" ht="15.75" customHeight="1" x14ac:dyDescent="0.25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</row>
    <row r="813" spans="1:18" ht="15.75" customHeight="1" x14ac:dyDescent="0.25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</row>
    <row r="814" spans="1:18" ht="15.75" customHeight="1" x14ac:dyDescent="0.25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</row>
    <row r="815" spans="1:18" ht="15.75" customHeight="1" x14ac:dyDescent="0.25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</row>
    <row r="816" spans="1:18" ht="15.75" customHeight="1" x14ac:dyDescent="0.25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</row>
    <row r="817" spans="1:18" ht="15.75" customHeight="1" x14ac:dyDescent="0.25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</row>
    <row r="818" spans="1:18" ht="15.75" customHeight="1" x14ac:dyDescent="0.25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</row>
    <row r="819" spans="1:18" ht="15.75" customHeight="1" x14ac:dyDescent="0.25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</row>
    <row r="820" spans="1:18" ht="15.75" customHeight="1" x14ac:dyDescent="0.25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</row>
    <row r="821" spans="1:18" ht="15.75" customHeight="1" x14ac:dyDescent="0.25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</row>
    <row r="822" spans="1:18" ht="15.75" customHeight="1" x14ac:dyDescent="0.25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</row>
    <row r="823" spans="1:18" ht="15.75" customHeight="1" x14ac:dyDescent="0.25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</row>
    <row r="824" spans="1:18" ht="15.75" customHeight="1" x14ac:dyDescent="0.25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</row>
    <row r="825" spans="1:18" ht="15.75" customHeight="1" x14ac:dyDescent="0.25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</row>
    <row r="826" spans="1:18" ht="15.75" customHeight="1" x14ac:dyDescent="0.25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</row>
    <row r="827" spans="1:18" ht="15.75" customHeight="1" x14ac:dyDescent="0.25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</row>
    <row r="828" spans="1:18" ht="15.75" customHeight="1" x14ac:dyDescent="0.25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</row>
    <row r="829" spans="1:18" ht="15.75" customHeight="1" x14ac:dyDescent="0.25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</row>
    <row r="830" spans="1:18" ht="15.75" customHeight="1" x14ac:dyDescent="0.25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</row>
    <row r="831" spans="1:18" ht="15.75" customHeight="1" x14ac:dyDescent="0.25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</row>
    <row r="832" spans="1:18" ht="15.75" customHeight="1" x14ac:dyDescent="0.25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</row>
    <row r="833" spans="1:18" ht="15.75" customHeight="1" x14ac:dyDescent="0.25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</row>
    <row r="834" spans="1:18" ht="15.75" customHeight="1" x14ac:dyDescent="0.25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</row>
    <row r="835" spans="1:18" ht="15.75" customHeight="1" x14ac:dyDescent="0.25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</row>
    <row r="836" spans="1:18" ht="15.75" customHeight="1" x14ac:dyDescent="0.25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</row>
    <row r="837" spans="1:18" ht="15.75" customHeight="1" x14ac:dyDescent="0.25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</row>
    <row r="838" spans="1:18" ht="15.75" customHeight="1" x14ac:dyDescent="0.25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</row>
    <row r="839" spans="1:18" ht="15.75" customHeight="1" x14ac:dyDescent="0.25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</row>
    <row r="840" spans="1:18" ht="15.75" customHeight="1" x14ac:dyDescent="0.25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</row>
    <row r="841" spans="1:18" ht="15.75" customHeight="1" x14ac:dyDescent="0.25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</row>
    <row r="842" spans="1:18" ht="15.75" customHeight="1" x14ac:dyDescent="0.25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</row>
    <row r="843" spans="1:18" ht="15.75" customHeight="1" x14ac:dyDescent="0.25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</row>
    <row r="844" spans="1:18" ht="15.75" customHeight="1" x14ac:dyDescent="0.25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</row>
    <row r="845" spans="1:18" ht="15.75" customHeight="1" x14ac:dyDescent="0.25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</row>
    <row r="846" spans="1:18" ht="15.75" customHeight="1" x14ac:dyDescent="0.25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</row>
    <row r="847" spans="1:18" ht="15.75" customHeight="1" x14ac:dyDescent="0.25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</row>
    <row r="848" spans="1:18" ht="15.75" customHeight="1" x14ac:dyDescent="0.25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</row>
    <row r="849" spans="1:18" ht="15.75" customHeight="1" x14ac:dyDescent="0.25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</row>
    <row r="850" spans="1:18" ht="15.75" customHeight="1" x14ac:dyDescent="0.25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</row>
    <row r="851" spans="1:18" ht="15.75" customHeight="1" x14ac:dyDescent="0.25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</row>
    <row r="852" spans="1:18" ht="15.75" customHeight="1" x14ac:dyDescent="0.25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</row>
    <row r="853" spans="1:18" ht="15.75" customHeight="1" x14ac:dyDescent="0.25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</row>
    <row r="854" spans="1:18" ht="15.75" customHeight="1" x14ac:dyDescent="0.25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</row>
    <row r="855" spans="1:18" ht="15.75" customHeight="1" x14ac:dyDescent="0.25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</row>
    <row r="856" spans="1:18" ht="15.75" customHeight="1" x14ac:dyDescent="0.25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</row>
    <row r="857" spans="1:18" ht="15.75" customHeight="1" x14ac:dyDescent="0.25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</row>
    <row r="858" spans="1:18" ht="15.75" customHeight="1" x14ac:dyDescent="0.25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</row>
    <row r="859" spans="1:18" ht="15.75" customHeight="1" x14ac:dyDescent="0.25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</row>
    <row r="860" spans="1:18" ht="15.75" customHeight="1" x14ac:dyDescent="0.25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</row>
    <row r="861" spans="1:18" ht="15.75" customHeight="1" x14ac:dyDescent="0.25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</row>
    <row r="862" spans="1:18" ht="15.75" customHeight="1" x14ac:dyDescent="0.25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</row>
    <row r="863" spans="1:18" ht="15.75" customHeight="1" x14ac:dyDescent="0.25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</row>
    <row r="864" spans="1:18" ht="15.75" customHeight="1" x14ac:dyDescent="0.25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</row>
    <row r="865" spans="1:18" ht="15.75" customHeight="1" x14ac:dyDescent="0.25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</row>
    <row r="866" spans="1:18" ht="15.75" customHeight="1" x14ac:dyDescent="0.25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</row>
    <row r="867" spans="1:18" ht="15.75" customHeight="1" x14ac:dyDescent="0.25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</row>
    <row r="868" spans="1:18" ht="15.75" customHeight="1" x14ac:dyDescent="0.25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</row>
    <row r="869" spans="1:18" ht="15.75" customHeight="1" x14ac:dyDescent="0.25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</row>
    <row r="870" spans="1:18" ht="15.75" customHeight="1" x14ac:dyDescent="0.25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</row>
    <row r="871" spans="1:18" ht="15.75" customHeight="1" x14ac:dyDescent="0.25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</row>
    <row r="872" spans="1:18" ht="15.75" customHeight="1" x14ac:dyDescent="0.25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</row>
    <row r="873" spans="1:18" ht="15.75" customHeight="1" x14ac:dyDescent="0.25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</row>
    <row r="874" spans="1:18" ht="15.75" customHeight="1" x14ac:dyDescent="0.25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</row>
    <row r="875" spans="1:18" ht="15.75" customHeight="1" x14ac:dyDescent="0.25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</row>
    <row r="876" spans="1:18" ht="15.75" customHeight="1" x14ac:dyDescent="0.25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</row>
    <row r="877" spans="1:18" ht="15.75" customHeight="1" x14ac:dyDescent="0.25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</row>
    <row r="878" spans="1:18" ht="15.75" customHeight="1" x14ac:dyDescent="0.25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</row>
    <row r="879" spans="1:18" ht="15.75" customHeight="1" x14ac:dyDescent="0.25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</row>
    <row r="880" spans="1:18" ht="15.75" customHeight="1" x14ac:dyDescent="0.25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</row>
    <row r="881" spans="1:18" ht="15.75" customHeight="1" x14ac:dyDescent="0.25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</row>
    <row r="882" spans="1:18" ht="15.75" customHeight="1" x14ac:dyDescent="0.25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</row>
    <row r="883" spans="1:18" ht="15.75" customHeight="1" x14ac:dyDescent="0.25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</row>
    <row r="884" spans="1:18" ht="15.75" customHeight="1" x14ac:dyDescent="0.25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</row>
    <row r="885" spans="1:18" ht="15.75" customHeight="1" x14ac:dyDescent="0.25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</row>
    <row r="886" spans="1:18" ht="15.75" customHeight="1" x14ac:dyDescent="0.25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</row>
    <row r="887" spans="1:18" ht="15.75" customHeight="1" x14ac:dyDescent="0.25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</row>
    <row r="888" spans="1:18" ht="15.75" customHeight="1" x14ac:dyDescent="0.25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</row>
    <row r="889" spans="1:18" ht="15.75" customHeight="1" x14ac:dyDescent="0.25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</row>
    <row r="890" spans="1:18" ht="15.75" customHeight="1" x14ac:dyDescent="0.25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</row>
    <row r="891" spans="1:18" ht="15.75" customHeight="1" x14ac:dyDescent="0.25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</row>
    <row r="892" spans="1:18" ht="15.75" customHeight="1" x14ac:dyDescent="0.25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</row>
    <row r="893" spans="1:18" ht="15.75" customHeight="1" x14ac:dyDescent="0.25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</row>
    <row r="894" spans="1:18" ht="15.75" customHeight="1" x14ac:dyDescent="0.25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</row>
    <row r="895" spans="1:18" ht="15.75" customHeight="1" x14ac:dyDescent="0.25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</row>
    <row r="896" spans="1:18" ht="15.75" customHeight="1" x14ac:dyDescent="0.25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</row>
    <row r="897" spans="1:18" ht="15.75" customHeight="1" x14ac:dyDescent="0.25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</row>
    <row r="898" spans="1:18" ht="15.75" customHeight="1" x14ac:dyDescent="0.25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</row>
    <row r="899" spans="1:18" ht="15.75" customHeight="1" x14ac:dyDescent="0.25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</row>
    <row r="900" spans="1:18" ht="15.75" customHeight="1" x14ac:dyDescent="0.25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</row>
    <row r="901" spans="1:18" ht="15.75" customHeight="1" x14ac:dyDescent="0.25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</row>
    <row r="902" spans="1:18" ht="15.75" customHeight="1" x14ac:dyDescent="0.25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</row>
    <row r="903" spans="1:18" ht="15.75" customHeight="1" x14ac:dyDescent="0.25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</row>
    <row r="904" spans="1:18" ht="15.75" customHeight="1" x14ac:dyDescent="0.25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</row>
    <row r="905" spans="1:18" ht="15.75" customHeight="1" x14ac:dyDescent="0.25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</row>
    <row r="906" spans="1:18" ht="15.75" customHeight="1" x14ac:dyDescent="0.25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</row>
    <row r="907" spans="1:18" ht="15.75" customHeight="1" x14ac:dyDescent="0.25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</row>
    <row r="908" spans="1:18" ht="15.75" customHeight="1" x14ac:dyDescent="0.25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</row>
    <row r="909" spans="1:18" ht="15.75" customHeight="1" x14ac:dyDescent="0.25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</row>
    <row r="910" spans="1:18" ht="15.75" customHeight="1" x14ac:dyDescent="0.25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</row>
    <row r="911" spans="1:18" ht="15.75" customHeight="1" x14ac:dyDescent="0.25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</row>
    <row r="912" spans="1:18" ht="15.75" customHeight="1" x14ac:dyDescent="0.25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</row>
    <row r="913" spans="1:18" ht="15.75" customHeight="1" x14ac:dyDescent="0.25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</row>
    <row r="914" spans="1:18" ht="15.75" customHeight="1" x14ac:dyDescent="0.25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</row>
    <row r="915" spans="1:18" ht="15.75" customHeight="1" x14ac:dyDescent="0.25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</row>
    <row r="916" spans="1:18" ht="15.75" customHeight="1" x14ac:dyDescent="0.25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</row>
    <row r="917" spans="1:18" ht="15.75" customHeight="1" x14ac:dyDescent="0.25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</row>
    <row r="918" spans="1:18" ht="15.75" customHeight="1" x14ac:dyDescent="0.25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</row>
    <row r="919" spans="1:18" ht="15.75" customHeight="1" x14ac:dyDescent="0.25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</row>
    <row r="920" spans="1:18" ht="15.75" customHeight="1" x14ac:dyDescent="0.25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</row>
    <row r="921" spans="1:18" ht="15.75" customHeight="1" x14ac:dyDescent="0.25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</row>
    <row r="922" spans="1:18" ht="15.75" customHeight="1" x14ac:dyDescent="0.25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</row>
    <row r="923" spans="1:18" ht="15.75" customHeight="1" x14ac:dyDescent="0.25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</row>
    <row r="924" spans="1:18" ht="15.75" customHeight="1" x14ac:dyDescent="0.25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</row>
    <row r="925" spans="1:18" ht="15.75" customHeight="1" x14ac:dyDescent="0.25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</row>
    <row r="926" spans="1:18" ht="15.75" customHeight="1" x14ac:dyDescent="0.25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</row>
    <row r="927" spans="1:18" ht="15.75" customHeight="1" x14ac:dyDescent="0.25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</row>
    <row r="928" spans="1:18" ht="15.75" customHeight="1" x14ac:dyDescent="0.25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</row>
    <row r="929" spans="1:18" ht="15.75" customHeight="1" x14ac:dyDescent="0.25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</row>
    <row r="930" spans="1:18" ht="15.75" customHeight="1" x14ac:dyDescent="0.25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</row>
    <row r="931" spans="1:18" ht="15.75" customHeight="1" x14ac:dyDescent="0.25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</row>
    <row r="932" spans="1:18" ht="15.75" customHeight="1" x14ac:dyDescent="0.25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</row>
  </sheetData>
  <mergeCells count="102">
    <mergeCell ref="A4:A6"/>
    <mergeCell ref="B4:B6"/>
    <mergeCell ref="C4:C6"/>
    <mergeCell ref="A1:A3"/>
    <mergeCell ref="B1:B3"/>
    <mergeCell ref="C1:C3"/>
    <mergeCell ref="D1:G1"/>
    <mergeCell ref="H1:K1"/>
    <mergeCell ref="D2:D3"/>
    <mergeCell ref="E2:G2"/>
    <mergeCell ref="H2:H3"/>
    <mergeCell ref="I2:K2"/>
    <mergeCell ref="A13:A15"/>
    <mergeCell ref="B13:B15"/>
    <mergeCell ref="C13:C15"/>
    <mergeCell ref="A16:A18"/>
    <mergeCell ref="B16:B18"/>
    <mergeCell ref="C16:C18"/>
    <mergeCell ref="A7:A9"/>
    <mergeCell ref="B7:B9"/>
    <mergeCell ref="C7:C9"/>
    <mergeCell ref="A10:A12"/>
    <mergeCell ref="B10:B12"/>
    <mergeCell ref="C10:C12"/>
    <mergeCell ref="A25:A27"/>
    <mergeCell ref="B25:B27"/>
    <mergeCell ref="C25:C27"/>
    <mergeCell ref="A28:A30"/>
    <mergeCell ref="B28:B30"/>
    <mergeCell ref="C28:C30"/>
    <mergeCell ref="A19:A21"/>
    <mergeCell ref="B19:B21"/>
    <mergeCell ref="C19:C21"/>
    <mergeCell ref="A22:A24"/>
    <mergeCell ref="B22:B24"/>
    <mergeCell ref="C22:C24"/>
    <mergeCell ref="A37:A39"/>
    <mergeCell ref="B37:B39"/>
    <mergeCell ref="C37:C39"/>
    <mergeCell ref="A40:A42"/>
    <mergeCell ref="B40:B42"/>
    <mergeCell ref="C40:C42"/>
    <mergeCell ref="A31:A33"/>
    <mergeCell ref="B31:B33"/>
    <mergeCell ref="C31:C33"/>
    <mergeCell ref="A34:A36"/>
    <mergeCell ref="B34:B36"/>
    <mergeCell ref="C34:C36"/>
    <mergeCell ref="A46:A48"/>
    <mergeCell ref="B46:B48"/>
    <mergeCell ref="C46:C48"/>
    <mergeCell ref="A49:A51"/>
    <mergeCell ref="B49:B51"/>
    <mergeCell ref="C49:C51"/>
    <mergeCell ref="A43:A45"/>
    <mergeCell ref="B43:B45"/>
    <mergeCell ref="C43:C45"/>
    <mergeCell ref="A58:A60"/>
    <mergeCell ref="B58:B60"/>
    <mergeCell ref="C58:C60"/>
    <mergeCell ref="A61:A63"/>
    <mergeCell ref="B61:B63"/>
    <mergeCell ref="C61:C63"/>
    <mergeCell ref="A52:A54"/>
    <mergeCell ref="B52:B54"/>
    <mergeCell ref="C52:C54"/>
    <mergeCell ref="A55:A57"/>
    <mergeCell ref="B55:B57"/>
    <mergeCell ref="C55:C57"/>
    <mergeCell ref="A70:A72"/>
    <mergeCell ref="B70:B72"/>
    <mergeCell ref="C70:C72"/>
    <mergeCell ref="A73:A75"/>
    <mergeCell ref="B73:B75"/>
    <mergeCell ref="C73:C75"/>
    <mergeCell ref="A64:A66"/>
    <mergeCell ref="B64:B66"/>
    <mergeCell ref="C64:C66"/>
    <mergeCell ref="A67:A69"/>
    <mergeCell ref="B67:B69"/>
    <mergeCell ref="C67:C69"/>
    <mergeCell ref="A82:A84"/>
    <mergeCell ref="B82:B84"/>
    <mergeCell ref="C82:C84"/>
    <mergeCell ref="A85:A87"/>
    <mergeCell ref="B85:B87"/>
    <mergeCell ref="C85:C87"/>
    <mergeCell ref="A76:A78"/>
    <mergeCell ref="B76:B78"/>
    <mergeCell ref="C76:C78"/>
    <mergeCell ref="A79:A81"/>
    <mergeCell ref="B79:B81"/>
    <mergeCell ref="C79:C81"/>
    <mergeCell ref="A91:A93"/>
    <mergeCell ref="B91:B93"/>
    <mergeCell ref="C91:C93"/>
    <mergeCell ref="A94:A96"/>
    <mergeCell ref="B94:B96"/>
    <mergeCell ref="C94:C96"/>
    <mergeCell ref="A88:A90"/>
    <mergeCell ref="B88:B90"/>
    <mergeCell ref="C88:C9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MACERACIÓN</vt:lpstr>
      <vt:lpstr>SOXHLET</vt:lpstr>
      <vt:lpstr>ULTRASONIDO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Manuel Osorio</dc:creator>
  <cp:lastModifiedBy>MARCOS JAVIER NIEVES ALVAREZ</cp:lastModifiedBy>
  <dcterms:created xsi:type="dcterms:W3CDTF">2026-07-28T12:06:04Z</dcterms:created>
  <dcterms:modified xsi:type="dcterms:W3CDTF">2026-07-31T02:03:00Z</dcterms:modified>
</cp:coreProperties>
</file>